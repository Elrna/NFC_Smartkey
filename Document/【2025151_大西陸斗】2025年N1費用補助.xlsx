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AltechCorporation\N1\NFC_Smartkey\Document\"/>
    </mc:Choice>
  </mc:AlternateContent>
  <bookViews>
    <workbookView xWindow="-28920" yWindow="3075" windowWidth="29040" windowHeight="15720"/>
  </bookViews>
  <sheets>
    <sheet name="申請書" sheetId="4" r:id="rId1"/>
  </sheets>
  <definedNames>
    <definedName name="_xlnm.Print_Area" localSheetId="0">申請書!$A$1:$K$163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6" i="4" l="1"/>
  <c r="I154" i="4" l="1"/>
  <c r="I155" i="4"/>
  <c r="I153" i="4"/>
  <c r="I152" i="4"/>
  <c r="I151" i="4" l="1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N72" i="4" l="1"/>
  <c r="N75" i="4"/>
  <c r="L75" i="4"/>
  <c r="P76" i="4"/>
  <c r="L72" i="4"/>
  <c r="P73" i="4"/>
  <c r="P70" i="4"/>
  <c r="P69" i="4"/>
  <c r="N70" i="4" s="1"/>
  <c r="R70" i="4" s="1"/>
  <c r="I131" i="4"/>
  <c r="I132" i="4"/>
  <c r="I133" i="4"/>
  <c r="I130" i="4"/>
  <c r="I161" i="4"/>
  <c r="P75" i="4" l="1"/>
  <c r="N76" i="4" s="1"/>
  <c r="R76" i="4"/>
  <c r="P72" i="4"/>
  <c r="N73" i="4" s="1"/>
  <c r="R73" i="4" s="1"/>
</calcChain>
</file>

<file path=xl/sharedStrings.xml><?xml version="1.0" encoding="utf-8"?>
<sst xmlns="http://schemas.openxmlformats.org/spreadsheetml/2006/main" count="170" uniqueCount="126">
  <si>
    <t>単価</t>
    <rPh sb="0" eb="2">
      <t>タンカ</t>
    </rPh>
    <phoneticPr fontId="2"/>
  </si>
  <si>
    <t>数量</t>
    <rPh sb="0" eb="2">
      <t>スウリョウ</t>
    </rPh>
    <phoneticPr fontId="2"/>
  </si>
  <si>
    <t>小計</t>
    <rPh sb="0" eb="2">
      <t>ショウケイ</t>
    </rPh>
    <phoneticPr fontId="2"/>
  </si>
  <si>
    <t>仕入れ先</t>
    <rPh sb="0" eb="2">
      <t>シイ</t>
    </rPh>
    <rPh sb="3" eb="4">
      <t>サキ</t>
    </rPh>
    <phoneticPr fontId="2"/>
  </si>
  <si>
    <t>備考</t>
    <rPh sb="0" eb="2">
      <t>ビコウ</t>
    </rPh>
    <phoneticPr fontId="2"/>
  </si>
  <si>
    <t>合計</t>
    <rPh sb="0" eb="2">
      <t>ゴウケイ</t>
    </rPh>
    <phoneticPr fontId="2"/>
  </si>
  <si>
    <t>No</t>
    <phoneticPr fontId="2"/>
  </si>
  <si>
    <t>　1）成果物の説明</t>
    <rPh sb="3" eb="6">
      <t>セイカブツ</t>
    </rPh>
    <rPh sb="7" eb="9">
      <t>セツメイ</t>
    </rPh>
    <phoneticPr fontId="2"/>
  </si>
  <si>
    <t>　2）購入品リスト</t>
    <rPh sb="3" eb="5">
      <t>コウニュウ</t>
    </rPh>
    <rPh sb="5" eb="6">
      <t>ヒン</t>
    </rPh>
    <phoneticPr fontId="2"/>
  </si>
  <si>
    <t>メーカー</t>
    <phoneticPr fontId="2"/>
  </si>
  <si>
    <t>型式</t>
    <rPh sb="0" eb="2">
      <t>カタシキ</t>
    </rPh>
    <phoneticPr fontId="2"/>
  </si>
  <si>
    <t>品名</t>
    <rPh sb="0" eb="2">
      <t>ヒンメイ</t>
    </rPh>
    <phoneticPr fontId="2"/>
  </si>
  <si>
    <t>社員番号</t>
    <rPh sb="0" eb="2">
      <t>シャイン</t>
    </rPh>
    <rPh sb="2" eb="4">
      <t>バンゴウ</t>
    </rPh>
    <phoneticPr fontId="2"/>
  </si>
  <si>
    <t>氏名</t>
    <rPh sb="0" eb="2">
      <t>シメイ</t>
    </rPh>
    <phoneticPr fontId="2"/>
  </si>
  <si>
    <t>大西陸斗</t>
    <rPh sb="0" eb="4">
      <t>オオニシリクト</t>
    </rPh>
    <phoneticPr fontId="2"/>
  </si>
  <si>
    <t xml:space="preserve"> ラズベリーパイ財団(Raspberry Pi Foundation)</t>
    <phoneticPr fontId="2"/>
  </si>
  <si>
    <t>Raspberry Pi Pico 2 W</t>
    <phoneticPr fontId="2"/>
  </si>
  <si>
    <t>-</t>
    <phoneticPr fontId="2"/>
  </si>
  <si>
    <t>チップ積層セラミックコンデンサー</t>
    <phoneticPr fontId="2"/>
  </si>
  <si>
    <t>株式会社村田製作所(muRata)</t>
    <phoneticPr fontId="2"/>
  </si>
  <si>
    <t>ショットキーバリアダイオード</t>
    <phoneticPr fontId="2"/>
  </si>
  <si>
    <t>amazon</t>
    <phoneticPr fontId="2"/>
  </si>
  <si>
    <t>PN532 NFCモジュール</t>
    <phoneticPr fontId="2"/>
  </si>
  <si>
    <t>Rasbee</t>
    <phoneticPr fontId="2"/>
  </si>
  <si>
    <t>半固定ボリュームセット</t>
    <phoneticPr fontId="2"/>
  </si>
  <si>
    <t>YFFSFDC</t>
    <phoneticPr fontId="2"/>
  </si>
  <si>
    <t>NFCラベル</t>
    <phoneticPr fontId="2"/>
  </si>
  <si>
    <t>Ayrsjcl</t>
    <phoneticPr fontId="2"/>
  </si>
  <si>
    <t>KIOXIA</t>
    <phoneticPr fontId="2"/>
  </si>
  <si>
    <t>KLMEA032G</t>
    <phoneticPr fontId="2"/>
  </si>
  <si>
    <t>microSD 32GB</t>
    <phoneticPr fontId="2"/>
  </si>
  <si>
    <t>共立エレショップ</t>
    <rPh sb="0" eb="2">
      <t>キョウリツ</t>
    </rPh>
    <phoneticPr fontId="2"/>
  </si>
  <si>
    <t>コーア(KOA)</t>
    <phoneticPr fontId="2"/>
  </si>
  <si>
    <t>RK73B1JTTD272J</t>
    <phoneticPr fontId="2"/>
  </si>
  <si>
    <t>チップ抵抗(1608)</t>
    <phoneticPr fontId="2"/>
  </si>
  <si>
    <t>SRP1038CC-470M</t>
    <phoneticPr fontId="2"/>
  </si>
  <si>
    <t>BOURNS</t>
    <phoneticPr fontId="2"/>
  </si>
  <si>
    <t>パワーインダクタ (SMD)</t>
    <phoneticPr fontId="2"/>
  </si>
  <si>
    <t xml:space="preserve"> 株式会社秋月電子通商</t>
    <phoneticPr fontId="2"/>
  </si>
  <si>
    <t>EXC-ELDR35C</t>
    <phoneticPr fontId="2"/>
  </si>
  <si>
    <t>パナソニック</t>
    <phoneticPr fontId="2"/>
  </si>
  <si>
    <t>フェライトビーズ 7A</t>
    <phoneticPr fontId="2"/>
  </si>
  <si>
    <t>SMDパワーインダクター 10μH6.7A</t>
    <phoneticPr fontId="2"/>
  </si>
  <si>
    <t>マイクロSDカードスロットDIP化キット</t>
    <phoneticPr fontId="2"/>
  </si>
  <si>
    <t>SSD1306 OLCD</t>
    <phoneticPr fontId="2"/>
  </si>
  <si>
    <t>高効率DCDCコンバーター用IC XL6019E1</t>
    <phoneticPr fontId="2"/>
  </si>
  <si>
    <t>低損失三端子レギュレーター</t>
    <phoneticPr fontId="2"/>
  </si>
  <si>
    <t>SC1633</t>
    <phoneticPr fontId="2"/>
  </si>
  <si>
    <t>セラミックコンデンサー 100pF50V</t>
    <phoneticPr fontId="2"/>
  </si>
  <si>
    <t>https://akizukidenshi.com/catalog/g/g116524/</t>
    <phoneticPr fontId="12"/>
  </si>
  <si>
    <t>https://akizukidenshi.com/catalog/g/g113161/</t>
    <phoneticPr fontId="12"/>
  </si>
  <si>
    <t>ヒューズホルダー 基板用 ミゼットタイプ</t>
    <phoneticPr fontId="2"/>
  </si>
  <si>
    <t>SUNHOKEY Electronics Co.,Ltd.</t>
    <phoneticPr fontId="2"/>
  </si>
  <si>
    <t>XLSEMI</t>
    <phoneticPr fontId="2"/>
  </si>
  <si>
    <t>XL6019E1</t>
    <phoneticPr fontId="2"/>
  </si>
  <si>
    <t>Diodes Incorporated</t>
    <phoneticPr fontId="2"/>
  </si>
  <si>
    <t>AZ1084CD-5.0</t>
    <phoneticPr fontId="2"/>
  </si>
  <si>
    <t>GCM188L81H104KA57</t>
    <phoneticPr fontId="2"/>
  </si>
  <si>
    <t>MA10EB045</t>
    <phoneticPr fontId="2"/>
  </si>
  <si>
    <t>AE-MICRO-SD-DIP</t>
    <phoneticPr fontId="2"/>
  </si>
  <si>
    <t>GRM188R6YA106MA73</t>
    <phoneticPr fontId="2"/>
  </si>
  <si>
    <t>CDRH127/LDNP-100MC</t>
    <phoneticPr fontId="2"/>
  </si>
  <si>
    <t>RDDS101K1H5L1-10</t>
    <phoneticPr fontId="2"/>
  </si>
  <si>
    <t>FUC-03A</t>
    <phoneticPr fontId="2"/>
  </si>
  <si>
    <t>https://akizukidenshi.com/catalog/g/g110521/</t>
    <phoneticPr fontId="12"/>
  </si>
  <si>
    <t>MF51NR 250V 5</t>
    <phoneticPr fontId="2"/>
  </si>
  <si>
    <t>ガラス管ヒューズ MF51NR 250V5A 20mm</t>
    <phoneticPr fontId="2"/>
  </si>
  <si>
    <t>チップ電解コンデンサー 220μF50V85℃ ニチコンUR</t>
    <phoneticPr fontId="2"/>
  </si>
  <si>
    <t>UUR1H221MNL1GS</t>
    <phoneticPr fontId="2"/>
  </si>
  <si>
    <t>電解コンデンサー 330μF16V105℃ ルビコンWXA</t>
    <phoneticPr fontId="2"/>
  </si>
  <si>
    <t>京セラ株式会社</t>
    <phoneticPr fontId="2"/>
  </si>
  <si>
    <t>株式会社村田製作所</t>
    <phoneticPr fontId="2"/>
  </si>
  <si>
    <t>スミダコーポレーション株式会社</t>
    <phoneticPr fontId="2"/>
  </si>
  <si>
    <t>Supertech Electronic Co., Ltd.</t>
    <phoneticPr fontId="2"/>
  </si>
  <si>
    <t>Kang Yang Hardware Enterprises Co., Ltd.</t>
    <phoneticPr fontId="2"/>
  </si>
  <si>
    <t>大東通信機株式会社</t>
    <phoneticPr fontId="2"/>
  </si>
  <si>
    <t>ニチコン株式会社</t>
    <phoneticPr fontId="2"/>
  </si>
  <si>
    <t>ルビコン株式会社(Rubycon)</t>
    <phoneticPr fontId="2"/>
  </si>
  <si>
    <t xml:space="preserve"> 16WXA330MEFC8X9</t>
    <phoneticPr fontId="2"/>
  </si>
  <si>
    <t>https://akizukidenshi.com/catalog/g/g108425/</t>
    <phoneticPr fontId="12"/>
  </si>
  <si>
    <t>https://akizukidenshi.com/catalog/g/g104577/</t>
    <phoneticPr fontId="12"/>
  </si>
  <si>
    <t>https://eleshop.jp/shop/g/gNCJ411/</t>
    <phoneticPr fontId="12"/>
  </si>
  <si>
    <t>プリント基板</t>
    <rPh sb="4" eb="6">
      <t>キバン</t>
    </rPh>
    <phoneticPr fontId="2"/>
  </si>
  <si>
    <t>JLPCB</t>
    <phoneticPr fontId="2"/>
  </si>
  <si>
    <t>V</t>
    <phoneticPr fontId="2"/>
  </si>
  <si>
    <t>Ω＋</t>
    <phoneticPr fontId="2"/>
  </si>
  <si>
    <t>Ω＝</t>
    <phoneticPr fontId="2"/>
  </si>
  <si>
    <t>Ω</t>
    <phoneticPr fontId="2"/>
  </si>
  <si>
    <t>V×</t>
    <phoneticPr fontId="2"/>
  </si>
  <si>
    <t>Ω /</t>
    <phoneticPr fontId="2"/>
  </si>
  <si>
    <t>計算機</t>
    <rPh sb="0" eb="3">
      <t>ケイサンキ</t>
    </rPh>
    <phoneticPr fontId="2"/>
  </si>
  <si>
    <t>5%誤差を考慮　片方がプラス側、もう片方がマイナス側に触れた場合が最悪</t>
    <rPh sb="2" eb="4">
      <t>ゴサ</t>
    </rPh>
    <rPh sb="5" eb="7">
      <t>コウリョ</t>
    </rPh>
    <rPh sb="8" eb="10">
      <t>カタホウ</t>
    </rPh>
    <rPh sb="14" eb="15">
      <t>ガワ</t>
    </rPh>
    <rPh sb="18" eb="20">
      <t>カタホウ</t>
    </rPh>
    <rPh sb="25" eb="26">
      <t>ガワ</t>
    </rPh>
    <rPh sb="27" eb="28">
      <t>フ</t>
    </rPh>
    <rPh sb="30" eb="32">
      <t>バアイ</t>
    </rPh>
    <rPh sb="33" eb="35">
      <t>サイアク</t>
    </rPh>
    <phoneticPr fontId="2"/>
  </si>
  <si>
    <t>https://eleshop.jp/shop/g/g4241981/</t>
    <phoneticPr fontId="12"/>
  </si>
  <si>
    <t>https://akizukidenshi.com/catalog/g/g130330/</t>
    <phoneticPr fontId="12"/>
  </si>
  <si>
    <t>https://akizukidenshi.com/catalog/g/g112031/</t>
    <phoneticPr fontId="12"/>
  </si>
  <si>
    <t>https://akizukidenshi.com/catalog/g/g131214/</t>
    <phoneticPr fontId="12"/>
  </si>
  <si>
    <t>https://akizukidenshi.com/catalog/g/g117599/</t>
    <phoneticPr fontId="2"/>
  </si>
  <si>
    <t>https://akizukidenshi.com/catalog/g/g116143/</t>
    <phoneticPr fontId="12"/>
  </si>
  <si>
    <t>https://akizukidenshi.com/catalog/g/g117496/</t>
    <phoneticPr fontId="12"/>
  </si>
  <si>
    <t>https://akizukidenshi.com/catalog/g/g105488/</t>
    <phoneticPr fontId="12"/>
  </si>
  <si>
    <t>https://akizukidenshi.com/catalog/g/g113965/</t>
    <phoneticPr fontId="12"/>
  </si>
  <si>
    <t>https://akizukidenshi.com/catalog/g/g107131/</t>
    <phoneticPr fontId="12"/>
  </si>
  <si>
    <t>https://amzn.asia/d/b7iMiti</t>
    <phoneticPr fontId="12"/>
  </si>
  <si>
    <t>https://www.amazon.co.jp/dp/B01GEZKF22?ref=ppx_yo2ov_dt_b_fed_asin_title</t>
    <phoneticPr fontId="12"/>
  </si>
  <si>
    <t>https://amzn.asia/d/5bX55bi</t>
    <phoneticPr fontId="12"/>
  </si>
  <si>
    <t>https://amzn.asia/d/6Xzx90E</t>
    <phoneticPr fontId="12"/>
  </si>
  <si>
    <t>https://eleshop.jp/shop/g/gABO36P/</t>
    <phoneticPr fontId="12"/>
  </si>
  <si>
    <t>スピーカー 8Ω8W</t>
    <phoneticPr fontId="12"/>
  </si>
  <si>
    <t>F00805</t>
    <phoneticPr fontId="12"/>
  </si>
  <si>
    <t>秋月電子通商</t>
    <phoneticPr fontId="2"/>
  </si>
  <si>
    <t>秋月電子通商</t>
    <phoneticPr fontId="2"/>
  </si>
  <si>
    <t>浜松営業所</t>
    <rPh sb="0" eb="5">
      <t>ハママツエイギョウショ</t>
    </rPh>
    <phoneticPr fontId="12"/>
  </si>
  <si>
    <t>-</t>
    <phoneticPr fontId="12"/>
  </si>
  <si>
    <t>-</t>
    <phoneticPr fontId="12"/>
  </si>
  <si>
    <t>カーボン抵抗100Ω</t>
    <rPh sb="4" eb="6">
      <t>テイコウ</t>
    </rPh>
    <phoneticPr fontId="12"/>
  </si>
  <si>
    <t>カーボン抵抗10KΩ</t>
    <phoneticPr fontId="12"/>
  </si>
  <si>
    <t>NchパワーMOSFET 60V5A 2SK4017(Q)</t>
    <phoneticPr fontId="12"/>
  </si>
  <si>
    <t>2SK4017(Q)</t>
    <phoneticPr fontId="12"/>
  </si>
  <si>
    <t>株式会社東芝セミコンダクター社(TOSHIBA)</t>
    <phoneticPr fontId="12"/>
  </si>
  <si>
    <t>https://akizukidenshi.com/catalog/g/g103285/</t>
    <phoneticPr fontId="12"/>
  </si>
  <si>
    <t>R3</t>
    <phoneticPr fontId="12"/>
  </si>
  <si>
    <t>R4</t>
    <phoneticPr fontId="12"/>
  </si>
  <si>
    <t>J4</t>
    <phoneticPr fontId="12"/>
  </si>
  <si>
    <t>浜松営業所</t>
    <rPh sb="0" eb="5">
      <t>ハママツエイギョウショ</t>
    </rPh>
    <phoneticPr fontId="12"/>
  </si>
  <si>
    <t>ピンヘッダセット</t>
    <phoneticPr fontId="12"/>
  </si>
  <si>
    <t>-</t>
    <phoneticPr fontId="1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</si>
</sst>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11"/>
      <name val="メイリオ"/>
      <family val="3"/>
      <charset val="128"/>
    </font>
    <font>
      <b/>
      <sz val="18"/>
      <name val="メイリオ"/>
      <family val="3"/>
      <charset val="128"/>
    </font>
    <font>
      <b/>
      <sz val="12"/>
      <name val="メイリオ"/>
      <family val="3"/>
      <charset val="128"/>
    </font>
    <font>
      <sz val="12"/>
      <name val="メイリオ"/>
      <family val="3"/>
      <charset val="128"/>
    </font>
    <font>
      <b/>
      <sz val="11"/>
      <name val="メイリオ"/>
      <family val="3"/>
      <charset val="128"/>
    </font>
    <font>
      <sz val="9"/>
      <name val="メイリオ"/>
      <family val="3"/>
      <charset val="128"/>
    </font>
    <font>
      <sz val="10"/>
      <name val="メイリオ"/>
      <family val="3"/>
      <charset val="128"/>
    </font>
    <font>
      <u/>
      <sz val="11"/>
      <color theme="10"/>
      <name val="ＭＳ Ｐゴシック"/>
      <family val="3"/>
      <charset val="128"/>
    </font>
    <font>
      <sz val="11"/>
      <color rgb="FFFF0000"/>
      <name val="メイリオ"/>
      <family val="3"/>
      <charset val="128"/>
    </font>
    <font>
      <sz val="6"/>
      <name val="ＭＳ Ｐゴシック"/>
      <family val="2"/>
      <charset val="128"/>
      <scheme val="minor"/>
    </font>
    <font>
      <sz val="11"/>
      <color rgb="FF3F3F3F"/>
      <name val="ＭＳ Ｐゴシック"/>
      <family val="3"/>
      <charset val="128"/>
      <scheme val="minor"/>
    </font>
    <font>
      <u/>
      <sz val="9"/>
      <color theme="10"/>
      <name val="ＭＳ Ｐゴシック"/>
      <family val="3"/>
      <charset val="128"/>
    </font>
    <font>
      <u/>
      <sz val="5.5"/>
      <color theme="1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</fills>
  <borders count="29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ashed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0" fontId="10" fillId="0" borderId="0" applyNumberFormat="0" applyFill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 applyAlignment="1">
      <alignment horizontal="center" vertical="center" shrinkToFit="1"/>
    </xf>
    <xf numFmtId="0" fontId="3" fillId="0" borderId="0" xfId="0" applyFont="1" applyAlignment="1">
      <alignment horizontal="center" vertical="center" shrinkToFit="1"/>
    </xf>
    <xf numFmtId="0" fontId="3" fillId="0" borderId="0" xfId="0" applyFont="1" applyAlignment="1">
      <alignment vertical="center" shrinkToFit="1"/>
    </xf>
    <xf numFmtId="0" fontId="3" fillId="0" borderId="17" xfId="0" applyFont="1" applyBorder="1" applyAlignment="1">
      <alignment horizontal="center" vertical="center"/>
    </xf>
    <xf numFmtId="0" fontId="3" fillId="0" borderId="0" xfId="0" applyFont="1" applyAlignment="1">
      <alignment vertical="top" wrapText="1"/>
    </xf>
    <xf numFmtId="0" fontId="3" fillId="0" borderId="21" xfId="0" applyFont="1" applyBorder="1" applyAlignment="1">
      <alignment horizontal="center" vertical="center" shrinkToFit="1"/>
    </xf>
    <xf numFmtId="0" fontId="3" fillId="0" borderId="22" xfId="0" applyFont="1" applyBorder="1" applyAlignment="1">
      <alignment horizontal="center" vertical="center" shrinkToFit="1"/>
    </xf>
    <xf numFmtId="0" fontId="3" fillId="0" borderId="17" xfId="0" applyFont="1" applyBorder="1" applyAlignment="1">
      <alignment horizontal="center" vertical="center" shrinkToFit="1"/>
    </xf>
    <xf numFmtId="0" fontId="3" fillId="0" borderId="18" xfId="0" applyFont="1" applyBorder="1" applyAlignment="1">
      <alignment horizontal="center" vertical="center" shrinkToFit="1"/>
    </xf>
    <xf numFmtId="0" fontId="3" fillId="0" borderId="19" xfId="0" applyFont="1" applyBorder="1" applyAlignment="1">
      <alignment horizontal="center" vertical="center" shrinkToFit="1"/>
    </xf>
    <xf numFmtId="0" fontId="3" fillId="0" borderId="15" xfId="0" applyFont="1" applyBorder="1" applyAlignment="1">
      <alignment horizontal="center" vertical="center" shrinkToFit="1"/>
    </xf>
    <xf numFmtId="0" fontId="3" fillId="0" borderId="20" xfId="0" applyFont="1" applyBorder="1" applyAlignment="1">
      <alignment horizontal="center" vertical="center" shrinkToFit="1"/>
    </xf>
    <xf numFmtId="0" fontId="3" fillId="0" borderId="16" xfId="0" applyFont="1" applyBorder="1" applyAlignment="1">
      <alignment horizontal="center" vertical="center" shrinkToFit="1"/>
    </xf>
    <xf numFmtId="0" fontId="8" fillId="0" borderId="17" xfId="0" applyFont="1" applyBorder="1" applyAlignment="1">
      <alignment horizontal="center" vertical="center"/>
    </xf>
    <xf numFmtId="0" fontId="10" fillId="0" borderId="0" xfId="2">
      <alignment vertical="center"/>
    </xf>
    <xf numFmtId="0" fontId="10" fillId="0" borderId="0" xfId="2" applyFill="1">
      <alignment vertical="center"/>
    </xf>
    <xf numFmtId="1" fontId="3" fillId="0" borderId="17" xfId="0" applyNumberFormat="1" applyFont="1" applyBorder="1" applyAlignment="1">
      <alignment horizontal="center" vertical="center" shrinkToFit="1"/>
    </xf>
    <xf numFmtId="0" fontId="13" fillId="0" borderId="22" xfId="0" applyFont="1" applyBorder="1" applyAlignment="1">
      <alignment horizontal="center" vertical="center" shrinkToFit="1"/>
    </xf>
    <xf numFmtId="0" fontId="3" fillId="0" borderId="0" xfId="0" quotePrefix="1" applyFont="1">
      <alignment vertical="center"/>
    </xf>
    <xf numFmtId="0" fontId="3" fillId="0" borderId="0" xfId="0" applyFont="1" applyBorder="1">
      <alignment vertical="center"/>
    </xf>
    <xf numFmtId="0" fontId="5" fillId="2" borderId="23" xfId="0" applyFont="1" applyFill="1" applyBorder="1" applyAlignment="1">
      <alignment horizontal="center" vertical="center" shrinkToFit="1"/>
    </xf>
    <xf numFmtId="0" fontId="5" fillId="2" borderId="24" xfId="0" applyFont="1" applyFill="1" applyBorder="1" applyAlignment="1">
      <alignment horizontal="center" vertical="center" shrinkToFit="1"/>
    </xf>
    <xf numFmtId="0" fontId="5" fillId="2" borderId="26" xfId="0" applyFont="1" applyFill="1" applyBorder="1" applyAlignment="1">
      <alignment horizontal="center" vertical="center" shrinkToFit="1"/>
    </xf>
    <xf numFmtId="0" fontId="5" fillId="2" borderId="25" xfId="0" applyFont="1" applyFill="1" applyBorder="1" applyAlignment="1">
      <alignment horizontal="center" vertical="center" shrinkToFit="1"/>
    </xf>
    <xf numFmtId="0" fontId="4" fillId="0" borderId="0" xfId="0" applyFont="1" applyAlignment="1">
      <alignment horizontal="center" vertical="center" shrinkToFit="1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horizontal="center" vertical="center" shrinkToFit="1"/>
    </xf>
    <xf numFmtId="0" fontId="7" fillId="2" borderId="11" xfId="0" applyFont="1" applyFill="1" applyBorder="1" applyAlignment="1">
      <alignment horizontal="left" vertical="center" shrinkToFit="1"/>
    </xf>
    <xf numFmtId="0" fontId="7" fillId="2" borderId="12" xfId="0" applyFont="1" applyFill="1" applyBorder="1" applyAlignment="1">
      <alignment horizontal="left" vertical="center" shrinkToFit="1"/>
    </xf>
    <xf numFmtId="0" fontId="7" fillId="2" borderId="13" xfId="0" applyFont="1" applyFill="1" applyBorder="1" applyAlignment="1">
      <alignment horizontal="left" vertical="center" shrinkToFit="1"/>
    </xf>
    <xf numFmtId="0" fontId="6" fillId="0" borderId="14" xfId="0" applyFont="1" applyBorder="1" applyAlignment="1">
      <alignment horizontal="center" vertical="center" wrapText="1" shrinkToFit="1"/>
    </xf>
    <xf numFmtId="0" fontId="6" fillId="0" borderId="10" xfId="0" applyFont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0" fontId="6" fillId="0" borderId="4" xfId="0" applyFont="1" applyBorder="1" applyAlignment="1">
      <alignment horizontal="center" vertical="center" wrapText="1" shrinkToFit="1"/>
    </xf>
    <xf numFmtId="0" fontId="6" fillId="0" borderId="0" xfId="0" applyFont="1" applyAlignment="1">
      <alignment horizontal="center" vertical="center" shrinkToFit="1"/>
    </xf>
    <xf numFmtId="0" fontId="6" fillId="0" borderId="1" xfId="0" applyFont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 shrinkToFit="1"/>
    </xf>
    <xf numFmtId="0" fontId="5" fillId="2" borderId="7" xfId="0" applyFont="1" applyFill="1" applyBorder="1" applyAlignment="1">
      <alignment horizontal="left" vertical="center" shrinkToFit="1"/>
    </xf>
    <xf numFmtId="0" fontId="5" fillId="2" borderId="8" xfId="0" applyFont="1" applyFill="1" applyBorder="1" applyAlignment="1">
      <alignment horizontal="left" vertical="center" shrinkToFit="1"/>
    </xf>
    <xf numFmtId="0" fontId="5" fillId="2" borderId="9" xfId="0" applyFont="1" applyFill="1" applyBorder="1" applyAlignment="1">
      <alignment horizontal="left" vertical="center" shrinkToFit="1"/>
    </xf>
    <xf numFmtId="0" fontId="3" fillId="0" borderId="22" xfId="0" applyFont="1" applyBorder="1" applyAlignment="1">
      <alignment horizontal="left" vertical="center" shrinkToFit="1"/>
    </xf>
    <xf numFmtId="0" fontId="3" fillId="0" borderId="27" xfId="0" applyFont="1" applyBorder="1" applyAlignment="1">
      <alignment horizontal="left" vertical="center" shrinkToFit="1"/>
    </xf>
    <xf numFmtId="0" fontId="3" fillId="0" borderId="28" xfId="0" applyFont="1" applyBorder="1" applyAlignment="1">
      <alignment horizontal="left" vertical="center" shrinkToFit="1"/>
    </xf>
    <xf numFmtId="0" fontId="11" fillId="0" borderId="22" xfId="0" applyFont="1" applyBorder="1" applyAlignment="1">
      <alignment horizontal="left" vertical="center" shrinkToFit="1"/>
    </xf>
    <xf numFmtId="0" fontId="11" fillId="0" borderId="27" xfId="0" applyFont="1" applyBorder="1" applyAlignment="1">
      <alignment horizontal="left" vertical="center" shrinkToFit="1"/>
    </xf>
    <xf numFmtId="0" fontId="11" fillId="0" borderId="28" xfId="0" applyFont="1" applyBorder="1" applyAlignment="1">
      <alignment horizontal="left" vertical="center" shrinkToFit="1"/>
    </xf>
    <xf numFmtId="0" fontId="14" fillId="0" borderId="18" xfId="2" applyFont="1" applyBorder="1" applyAlignment="1">
      <alignment vertical="center" shrinkToFit="1"/>
    </xf>
    <xf numFmtId="0" fontId="9" fillId="0" borderId="17" xfId="0" applyFont="1" applyBorder="1" applyAlignment="1">
      <alignment horizontal="center" vertical="center" shrinkToFit="1"/>
    </xf>
    <xf numFmtId="0" fontId="15" fillId="0" borderId="18" xfId="2" applyFont="1" applyBorder="1" applyAlignment="1">
      <alignment vertical="center" shrinkToFit="1"/>
    </xf>
    <xf numFmtId="0" fontId="8" fillId="0" borderId="17" xfId="0" applyFont="1" applyBorder="1" applyAlignment="1">
      <alignment horizontal="center" vertical="center" shrinkToFit="1"/>
    </xf>
    <xf numFmtId="0" fontId="10" fillId="0" borderId="18" xfId="2" applyBorder="1" applyAlignment="1">
      <alignment vertical="center" shrinkToFit="1"/>
    </xf>
    <xf numFmtId="0" fontId="0" fillId="0" borderId="18" xfId="0" applyBorder="1" applyAlignment="1">
      <alignment vertical="center" shrinkToFit="1"/>
    </xf>
  </cellXfs>
  <cellStyles count="3">
    <cellStyle name="ハイパーリンク" xfId="2" builtinId="8"/>
    <cellStyle name="標準" xfId="0" builtinId="0"/>
    <cellStyle name="標準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160</xdr:row>
      <xdr:rowOff>333375</xdr:rowOff>
    </xdr:from>
    <xdr:to>
      <xdr:col>3</xdr:col>
      <xdr:colOff>0</xdr:colOff>
      <xdr:row>160</xdr:row>
      <xdr:rowOff>333375</xdr:rowOff>
    </xdr:to>
    <xdr:pic>
      <xdr:nvPicPr>
        <xdr:cNvPr id="2338" name="Picture 2" descr="rogo060511">
          <a:extLst>
            <a:ext uri="{FF2B5EF4-FFF2-40B4-BE49-F238E27FC236}">
              <a16:creationId xmlns:a16="http://schemas.microsoft.com/office/drawing/2014/main" id="{00000000-0008-0000-00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190500" y="32937450"/>
          <a:ext cx="180022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0</xdr:col>
      <xdr:colOff>2</xdr:colOff>
      <xdr:row>0</xdr:row>
      <xdr:rowOff>13609</xdr:rowOff>
    </xdr:from>
    <xdr:ext cx="3992440" cy="592470"/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2" y="13609"/>
          <a:ext cx="3992440" cy="59247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rPr>
            <a:t>2025</a:t>
          </a:r>
          <a:r>
            <a:rPr kumimoji="1" lang="ja-JP" altLang="en-US" sz="2000"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rPr>
            <a:t>年</a:t>
          </a:r>
          <a:r>
            <a:rPr kumimoji="1" lang="en-US" altLang="ja-JP" sz="2000"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rPr>
            <a:t>N1</a:t>
          </a:r>
          <a:r>
            <a:rPr kumimoji="1" lang="ja-JP" altLang="en-US" sz="2000"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rPr>
            <a:t>費用補助フォーマット</a:t>
          </a:r>
        </a:p>
      </xdr:txBody>
    </xdr:sp>
    <xdr:clientData/>
  </xdr:oneCellAnchor>
  <xdr:twoCellAnchor>
    <xdr:from>
      <xdr:col>1</xdr:col>
      <xdr:colOff>77930</xdr:colOff>
      <xdr:row>5</xdr:row>
      <xdr:rowOff>69273</xdr:rowOff>
    </xdr:from>
    <xdr:to>
      <xdr:col>5</xdr:col>
      <xdr:colOff>6350</xdr:colOff>
      <xdr:row>7</xdr:row>
      <xdr:rowOff>17318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SpPr/>
      </xdr:nvSpPr>
      <xdr:spPr>
        <a:xfrm>
          <a:off x="249380" y="1136073"/>
          <a:ext cx="3547920" cy="329045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200"/>
            <a:t>N1</a:t>
          </a:r>
          <a:r>
            <a:rPr lang="ja-JP" altLang="en-US" sz="1200"/>
            <a:t>テーマ：</a:t>
          </a:r>
          <a:r>
            <a:rPr kumimoji="1" lang="ja-JP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ラズパイピコを使った</a:t>
          </a:r>
          <a:r>
            <a:rPr kumimoji="1" lang="en-US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NFC</a:t>
          </a:r>
          <a:r>
            <a:rPr kumimoji="1" lang="ja-JP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スマートキー</a:t>
          </a:r>
          <a:endParaRPr lang="ja-JP" altLang="ja-JP" sz="1200">
            <a:effectLst/>
          </a:endParaRPr>
        </a:p>
        <a:p>
          <a:pPr algn="l"/>
          <a:endParaRPr lang="en-US" altLang="ja-JP" sz="1200"/>
        </a:p>
        <a:p>
          <a:pPr algn="l"/>
          <a:endParaRPr lang="en-US" sz="1200"/>
        </a:p>
      </xdr:txBody>
    </xdr:sp>
    <xdr:clientData/>
  </xdr:twoCellAnchor>
  <xdr:twoCellAnchor>
    <xdr:from>
      <xdr:col>1</xdr:col>
      <xdr:colOff>77930</xdr:colOff>
      <xdr:row>6</xdr:row>
      <xdr:rowOff>112568</xdr:rowOff>
    </xdr:from>
    <xdr:to>
      <xdr:col>10</xdr:col>
      <xdr:colOff>1731</xdr:colOff>
      <xdr:row>11</xdr:row>
      <xdr:rowOff>19050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SpPr/>
      </xdr:nvSpPr>
      <xdr:spPr>
        <a:xfrm>
          <a:off x="249380" y="1369868"/>
          <a:ext cx="8953501" cy="858982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rtl="0" eaLnBrk="1" latinLnBrk="0" hangingPunct="1"/>
          <a:r>
            <a:rPr lang="ja-JP" altLang="en-US" sz="1200"/>
            <a:t>概要：</a:t>
          </a:r>
          <a:r>
            <a:rPr kumimoji="1" lang="en-US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NFC</a:t>
          </a:r>
          <a:r>
            <a:rPr kumimoji="1" lang="ja-JP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タグを認識して個別に動作できるスマートキーを作ることを目的とする。</a:t>
          </a:r>
          <a:endParaRPr lang="ja-JP" altLang="ja-JP" sz="1200">
            <a:effectLst/>
          </a:endParaRPr>
        </a:p>
        <a:p>
          <a:pPr rtl="0" eaLnBrk="1" latinLnBrk="0" hangingPunct="1"/>
          <a:r>
            <a:rPr kumimoji="1" lang="en-US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BLE</a:t>
          </a:r>
          <a:r>
            <a:rPr kumimoji="1" lang="ja-JP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で設定を変更でき、</a:t>
          </a:r>
          <a:r>
            <a:rPr kumimoji="1" lang="en-US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microSD</a:t>
          </a:r>
          <a:r>
            <a:rPr kumimoji="1" lang="ja-JP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に情報を保存することで、</a:t>
          </a:r>
          <a:endParaRPr lang="ja-JP" altLang="ja-JP" sz="1200">
            <a:effectLst/>
          </a:endParaRPr>
        </a:p>
        <a:p>
          <a:pPr rtl="0" eaLnBrk="1" latinLnBrk="0" hangingPunct="1"/>
          <a:r>
            <a:rPr kumimoji="1" lang="ja-JP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柔軟で実用的なシステムを実現する。</a:t>
          </a:r>
          <a:endParaRPr lang="ja-JP" altLang="ja-JP" sz="1200">
            <a:effectLst/>
          </a:endParaRPr>
        </a:p>
        <a:p>
          <a:pPr algn="l"/>
          <a:endParaRPr lang="en-US" altLang="ja-JP" sz="1200"/>
        </a:p>
      </xdr:txBody>
    </xdr:sp>
    <xdr:clientData/>
  </xdr:twoCellAnchor>
  <xdr:twoCellAnchor>
    <xdr:from>
      <xdr:col>1</xdr:col>
      <xdr:colOff>75168</xdr:colOff>
      <xdr:row>9</xdr:row>
      <xdr:rowOff>149336</xdr:rowOff>
    </xdr:from>
    <xdr:to>
      <xdr:col>3</xdr:col>
      <xdr:colOff>854488</xdr:colOff>
      <xdr:row>11</xdr:row>
      <xdr:rowOff>63500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>
        <a:xfrm>
          <a:off x="246618" y="1978136"/>
          <a:ext cx="2423970" cy="295164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ja-JP" altLang="en-US" sz="1200" b="1"/>
            <a:t>成果物の形状</a:t>
          </a:r>
          <a:endParaRPr lang="en-US" sz="1200" b="1"/>
        </a:p>
      </xdr:txBody>
    </xdr:sp>
    <xdr:clientData/>
  </xdr:twoCellAnchor>
  <xdr:twoCellAnchor editAs="oneCell">
    <xdr:from>
      <xdr:col>1</xdr:col>
      <xdr:colOff>28575</xdr:colOff>
      <xdr:row>44</xdr:row>
      <xdr:rowOff>114299</xdr:rowOff>
    </xdr:from>
    <xdr:to>
      <xdr:col>9</xdr:col>
      <xdr:colOff>2419373</xdr:colOff>
      <xdr:row>80</xdr:row>
      <xdr:rowOff>133350</xdr:rowOff>
    </xdr:to>
    <xdr:pic>
      <xdr:nvPicPr>
        <xdr:cNvPr id="17" name="図 16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9075" y="8620124"/>
          <a:ext cx="9753623" cy="6877051"/>
        </a:xfrm>
        <a:prstGeom prst="rect">
          <a:avLst/>
        </a:prstGeom>
      </xdr:spPr>
    </xdr:pic>
    <xdr:clientData/>
  </xdr:twoCellAnchor>
  <xdr:twoCellAnchor editAs="oneCell">
    <xdr:from>
      <xdr:col>9</xdr:col>
      <xdr:colOff>76200</xdr:colOff>
      <xdr:row>65</xdr:row>
      <xdr:rowOff>152400</xdr:rowOff>
    </xdr:from>
    <xdr:to>
      <xdr:col>9</xdr:col>
      <xdr:colOff>2391098</xdr:colOff>
      <xdr:row>104</xdr:row>
      <xdr:rowOff>58174</xdr:rowOff>
    </xdr:to>
    <xdr:pic>
      <xdr:nvPicPr>
        <xdr:cNvPr id="23" name="図 22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629525" y="12658725"/>
          <a:ext cx="2314898" cy="7335274"/>
        </a:xfrm>
        <a:prstGeom prst="rect">
          <a:avLst/>
        </a:prstGeom>
      </xdr:spPr>
    </xdr:pic>
    <xdr:clientData/>
  </xdr:twoCellAnchor>
  <xdr:twoCellAnchor editAs="oneCell">
    <xdr:from>
      <xdr:col>1</xdr:col>
      <xdr:colOff>76202</xdr:colOff>
      <xdr:row>10</xdr:row>
      <xdr:rowOff>152401</xdr:rowOff>
    </xdr:from>
    <xdr:to>
      <xdr:col>9</xdr:col>
      <xdr:colOff>2443006</xdr:colOff>
      <xdr:row>45</xdr:row>
      <xdr:rowOff>133350</xdr:rowOff>
    </xdr:to>
    <xdr:pic>
      <xdr:nvPicPr>
        <xdr:cNvPr id="2" name="図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66702" y="2181226"/>
          <a:ext cx="9729629" cy="66484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kizukidenshi.com/catalog/g/g116143/" TargetMode="External"/><Relationship Id="rId13" Type="http://schemas.openxmlformats.org/officeDocument/2006/relationships/hyperlink" Target="https://akizukidenshi.com/catalog/g/g107131/" TargetMode="External"/><Relationship Id="rId18" Type="http://schemas.openxmlformats.org/officeDocument/2006/relationships/hyperlink" Target="https://amzn.asia/d/5bX55bi" TargetMode="External"/><Relationship Id="rId3" Type="http://schemas.openxmlformats.org/officeDocument/2006/relationships/hyperlink" Target="https://akizukidenshi.com/catalog/g/g113965/" TargetMode="External"/><Relationship Id="rId21" Type="http://schemas.openxmlformats.org/officeDocument/2006/relationships/hyperlink" Target="https://akizukidenshi.com/catalog/g/g116524/" TargetMode="External"/><Relationship Id="rId7" Type="http://schemas.openxmlformats.org/officeDocument/2006/relationships/hyperlink" Target="https://akizukidenshi.com/catalog/g/g117599/" TargetMode="External"/><Relationship Id="rId12" Type="http://schemas.openxmlformats.org/officeDocument/2006/relationships/hyperlink" Target="https://akizukidenshi.com/catalog/g/g110521/" TargetMode="External"/><Relationship Id="rId17" Type="http://schemas.openxmlformats.org/officeDocument/2006/relationships/hyperlink" Target="https://www.amazon.co.jp/dp/B01GEZKF22?ref=ppx_yo2ov_dt_b_fed_asin_title" TargetMode="External"/><Relationship Id="rId2" Type="http://schemas.openxmlformats.org/officeDocument/2006/relationships/hyperlink" Target="https://eleshop.jp/shop/g/g4241981/" TargetMode="External"/><Relationship Id="rId16" Type="http://schemas.openxmlformats.org/officeDocument/2006/relationships/hyperlink" Target="https://amzn.asia/d/b7iMiti" TargetMode="External"/><Relationship Id="rId20" Type="http://schemas.openxmlformats.org/officeDocument/2006/relationships/hyperlink" Target="https://eleshop.jp/shop/g/gABO36P/" TargetMode="External"/><Relationship Id="rId1" Type="http://schemas.openxmlformats.org/officeDocument/2006/relationships/hyperlink" Target="https://eleshop.jp/shop/g/gNCJ411/" TargetMode="External"/><Relationship Id="rId6" Type="http://schemas.openxmlformats.org/officeDocument/2006/relationships/hyperlink" Target="https://akizukidenshi.com/catalog/g/g131214/" TargetMode="External"/><Relationship Id="rId11" Type="http://schemas.openxmlformats.org/officeDocument/2006/relationships/hyperlink" Target="https://akizukidenshi.com/catalog/g/g113161/" TargetMode="External"/><Relationship Id="rId24" Type="http://schemas.openxmlformats.org/officeDocument/2006/relationships/drawing" Target="../drawings/drawing1.xml"/><Relationship Id="rId5" Type="http://schemas.openxmlformats.org/officeDocument/2006/relationships/hyperlink" Target="https://akizukidenshi.com/catalog/g/g112031/" TargetMode="External"/><Relationship Id="rId15" Type="http://schemas.openxmlformats.org/officeDocument/2006/relationships/hyperlink" Target="https://akizukidenshi.com/catalog/g/g108425/" TargetMode="External"/><Relationship Id="rId23" Type="http://schemas.openxmlformats.org/officeDocument/2006/relationships/printerSettings" Target="../printerSettings/printerSettings1.bin"/><Relationship Id="rId10" Type="http://schemas.openxmlformats.org/officeDocument/2006/relationships/hyperlink" Target="https://akizukidenshi.com/catalog/g/g105488/" TargetMode="External"/><Relationship Id="rId19" Type="http://schemas.openxmlformats.org/officeDocument/2006/relationships/hyperlink" Target="https://amzn.asia/d/6Xzx90E" TargetMode="External"/><Relationship Id="rId4" Type="http://schemas.openxmlformats.org/officeDocument/2006/relationships/hyperlink" Target="https://akizukidenshi.com/catalog/g/g130330/" TargetMode="External"/><Relationship Id="rId9" Type="http://schemas.openxmlformats.org/officeDocument/2006/relationships/hyperlink" Target="https://akizukidenshi.com/catalog/g/g117496/" TargetMode="External"/><Relationship Id="rId14" Type="http://schemas.openxmlformats.org/officeDocument/2006/relationships/hyperlink" Target="https://akizukidenshi.com/catalog/g/g104577/" TargetMode="External"/><Relationship Id="rId22" Type="http://schemas.openxmlformats.org/officeDocument/2006/relationships/hyperlink" Target="https://akizukidenshi.com/catalog/g/g103285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216"/>
  <sheetViews>
    <sheetView showGridLines="0" tabSelected="1" zoomScaleNormal="100" zoomScaleSheetLayoutView="100" zoomScalePageLayoutView="70" workbookViewId="0">
      <selection activeCell="M12" sqref="M12"/>
    </sheetView>
  </sheetViews>
  <sheetFormatPr defaultColWidth="9" defaultRowHeight="18.75" x14ac:dyDescent="0.15"/>
  <cols>
    <col min="1" max="1" width="2.5" style="1" customWidth="1"/>
    <col min="2" max="2" width="4.5" style="1" bestFit="1" customWidth="1"/>
    <col min="3" max="3" width="19.125" style="1" customWidth="1"/>
    <col min="4" max="4" width="14.5" style="1" customWidth="1"/>
    <col min="5" max="5" width="13.875" style="1" customWidth="1"/>
    <col min="6" max="6" width="25.5" style="1" customWidth="1"/>
    <col min="7" max="7" width="7.875" style="1" customWidth="1"/>
    <col min="8" max="9" width="5.625" style="1" bestFit="1" customWidth="1"/>
    <col min="10" max="10" width="32.75" style="1" customWidth="1"/>
    <col min="11" max="11" width="2.5" style="1" customWidth="1"/>
    <col min="12" max="12" width="9" style="1"/>
    <col min="13" max="13" width="5.125" style="1" bestFit="1" customWidth="1"/>
    <col min="14" max="14" width="9" style="1"/>
    <col min="15" max="15" width="5.125" style="1" bestFit="1" customWidth="1"/>
    <col min="16" max="16" width="9" style="1"/>
    <col min="17" max="17" width="5.125" style="1" bestFit="1" customWidth="1"/>
    <col min="18" max="16384" width="9" style="1"/>
  </cols>
  <sheetData>
    <row r="1" spans="2:10" ht="15" customHeight="1" x14ac:dyDescent="0.15">
      <c r="D1" s="2"/>
      <c r="E1" s="2"/>
      <c r="F1" s="2"/>
      <c r="G1" s="2"/>
      <c r="H1" s="3"/>
      <c r="I1" s="4"/>
      <c r="J1" s="4"/>
    </row>
    <row r="2" spans="2:10" ht="15" customHeight="1" x14ac:dyDescent="0.15">
      <c r="C2" s="26"/>
      <c r="D2" s="26"/>
      <c r="E2" s="26"/>
      <c r="F2" s="26"/>
      <c r="G2" s="26"/>
      <c r="H2" s="4"/>
      <c r="I2" s="4"/>
      <c r="J2" s="4"/>
    </row>
    <row r="3" spans="2:10" ht="15" customHeight="1" thickBot="1" x14ac:dyDescent="0.2">
      <c r="C3" s="2"/>
      <c r="D3" s="2"/>
      <c r="E3" s="2"/>
      <c r="F3" s="2"/>
      <c r="G3" s="2"/>
      <c r="H3" s="4"/>
      <c r="I3" s="4"/>
      <c r="J3" s="4"/>
    </row>
    <row r="4" spans="2:10" ht="20.25" thickBot="1" x14ac:dyDescent="0.2">
      <c r="B4" s="22" t="s">
        <v>12</v>
      </c>
      <c r="C4" s="23"/>
      <c r="D4" s="24">
        <v>2025151</v>
      </c>
      <c r="E4" s="25"/>
      <c r="F4" s="23" t="s">
        <v>13</v>
      </c>
      <c r="G4" s="23"/>
      <c r="H4" s="24" t="s">
        <v>14</v>
      </c>
      <c r="I4" s="23"/>
      <c r="J4" s="25"/>
    </row>
    <row r="5" spans="2:10" ht="19.5" customHeight="1" x14ac:dyDescent="0.15">
      <c r="B5" s="41" t="s">
        <v>7</v>
      </c>
      <c r="C5" s="42"/>
      <c r="D5" s="42"/>
      <c r="E5" s="42"/>
      <c r="F5" s="42"/>
      <c r="G5" s="42"/>
      <c r="H5" s="42"/>
      <c r="I5" s="42"/>
      <c r="J5" s="43"/>
    </row>
    <row r="6" spans="2:10" ht="15" customHeight="1" x14ac:dyDescent="0.15">
      <c r="B6" s="32"/>
      <c r="C6" s="33"/>
      <c r="D6" s="33"/>
      <c r="E6" s="33"/>
      <c r="F6" s="33"/>
      <c r="G6" s="33"/>
      <c r="H6" s="33"/>
      <c r="I6" s="33"/>
      <c r="J6" s="34"/>
    </row>
    <row r="7" spans="2:10" ht="15" customHeight="1" x14ac:dyDescent="0.15">
      <c r="B7" s="35"/>
      <c r="C7" s="36"/>
      <c r="D7" s="36"/>
      <c r="E7" s="36"/>
      <c r="F7" s="36"/>
      <c r="G7" s="36"/>
      <c r="H7" s="36"/>
      <c r="I7" s="36"/>
      <c r="J7" s="37"/>
    </row>
    <row r="8" spans="2:10" ht="15" customHeight="1" x14ac:dyDescent="0.15">
      <c r="B8" s="35"/>
      <c r="C8" s="36"/>
      <c r="D8" s="36"/>
      <c r="E8" s="36"/>
      <c r="F8" s="36"/>
      <c r="G8" s="36"/>
      <c r="H8" s="36"/>
      <c r="I8" s="36"/>
      <c r="J8" s="37"/>
    </row>
    <row r="9" spans="2:10" ht="15" customHeight="1" x14ac:dyDescent="0.15">
      <c r="B9" s="35"/>
      <c r="C9" s="36"/>
      <c r="D9" s="36"/>
      <c r="E9" s="36"/>
      <c r="F9" s="36"/>
      <c r="G9" s="36"/>
      <c r="H9" s="36"/>
      <c r="I9" s="36"/>
      <c r="J9" s="37"/>
    </row>
    <row r="10" spans="2:10" ht="15" customHeight="1" x14ac:dyDescent="0.15">
      <c r="B10" s="35"/>
      <c r="C10" s="36"/>
      <c r="D10" s="36"/>
      <c r="E10" s="36"/>
      <c r="F10" s="36"/>
      <c r="G10" s="36"/>
      <c r="H10" s="36"/>
      <c r="I10" s="36"/>
      <c r="J10" s="37"/>
    </row>
    <row r="11" spans="2:10" ht="15" customHeight="1" x14ac:dyDescent="0.15">
      <c r="B11" s="35"/>
      <c r="C11" s="36"/>
      <c r="D11" s="36"/>
      <c r="E11" s="36"/>
      <c r="F11" s="36"/>
      <c r="G11" s="36"/>
      <c r="H11" s="36"/>
      <c r="I11" s="36"/>
      <c r="J11" s="37"/>
    </row>
    <row r="12" spans="2:10" ht="15" customHeight="1" x14ac:dyDescent="0.15">
      <c r="B12" s="35"/>
      <c r="C12" s="36"/>
      <c r="D12" s="36"/>
      <c r="E12" s="36"/>
      <c r="F12" s="36"/>
      <c r="G12" s="36"/>
      <c r="H12" s="36"/>
      <c r="I12" s="36"/>
      <c r="J12" s="37"/>
    </row>
    <row r="13" spans="2:10" ht="15" customHeight="1" x14ac:dyDescent="0.15">
      <c r="B13" s="35"/>
      <c r="C13" s="36"/>
      <c r="D13" s="36"/>
      <c r="E13" s="36"/>
      <c r="F13" s="36"/>
      <c r="G13" s="36"/>
      <c r="H13" s="36"/>
      <c r="I13" s="36"/>
      <c r="J13" s="37"/>
    </row>
    <row r="14" spans="2:10" ht="15" customHeight="1" x14ac:dyDescent="0.15">
      <c r="B14" s="35"/>
      <c r="C14" s="36"/>
      <c r="D14" s="36"/>
      <c r="E14" s="36"/>
      <c r="F14" s="36"/>
      <c r="G14" s="36"/>
      <c r="H14" s="36"/>
      <c r="I14" s="36"/>
      <c r="J14" s="37"/>
    </row>
    <row r="15" spans="2:10" ht="15" customHeight="1" x14ac:dyDescent="0.15">
      <c r="B15" s="35"/>
      <c r="C15" s="36"/>
      <c r="D15" s="36"/>
      <c r="E15" s="36"/>
      <c r="F15" s="36"/>
      <c r="G15" s="36"/>
      <c r="H15" s="36"/>
      <c r="I15" s="36"/>
      <c r="J15" s="37"/>
    </row>
    <row r="16" spans="2:10" ht="15" customHeight="1" x14ac:dyDescent="0.15">
      <c r="B16" s="35"/>
      <c r="C16" s="36"/>
      <c r="D16" s="36"/>
      <c r="E16" s="36"/>
      <c r="F16" s="36"/>
      <c r="G16" s="36"/>
      <c r="H16" s="36"/>
      <c r="I16" s="36"/>
      <c r="J16" s="37"/>
    </row>
    <row r="17" spans="2:10" ht="15" customHeight="1" x14ac:dyDescent="0.15">
      <c r="B17" s="35"/>
      <c r="C17" s="36"/>
      <c r="D17" s="36"/>
      <c r="E17" s="36"/>
      <c r="F17" s="36"/>
      <c r="G17" s="36"/>
      <c r="H17" s="36"/>
      <c r="I17" s="36"/>
      <c r="J17" s="37"/>
    </row>
    <row r="18" spans="2:10" ht="15" customHeight="1" x14ac:dyDescent="0.15">
      <c r="B18" s="35"/>
      <c r="C18" s="36"/>
      <c r="D18" s="36"/>
      <c r="E18" s="36"/>
      <c r="F18" s="36"/>
      <c r="G18" s="36"/>
      <c r="H18" s="36"/>
      <c r="I18" s="36"/>
      <c r="J18" s="37"/>
    </row>
    <row r="19" spans="2:10" ht="15" customHeight="1" x14ac:dyDescent="0.15">
      <c r="B19" s="35"/>
      <c r="C19" s="36"/>
      <c r="D19" s="36"/>
      <c r="E19" s="36"/>
      <c r="F19" s="36"/>
      <c r="G19" s="36"/>
      <c r="H19" s="36"/>
      <c r="I19" s="36"/>
      <c r="J19" s="37"/>
    </row>
    <row r="20" spans="2:10" ht="15" customHeight="1" x14ac:dyDescent="0.15">
      <c r="B20" s="35"/>
      <c r="C20" s="36"/>
      <c r="D20" s="36"/>
      <c r="E20" s="36"/>
      <c r="F20" s="36"/>
      <c r="G20" s="36"/>
      <c r="H20" s="36"/>
      <c r="I20" s="36"/>
      <c r="J20" s="37"/>
    </row>
    <row r="21" spans="2:10" ht="15" customHeight="1" x14ac:dyDescent="0.15">
      <c r="B21" s="35"/>
      <c r="C21" s="36"/>
      <c r="D21" s="36"/>
      <c r="E21" s="36"/>
      <c r="F21" s="36"/>
      <c r="G21" s="36"/>
      <c r="H21" s="36"/>
      <c r="I21" s="36"/>
      <c r="J21" s="37"/>
    </row>
    <row r="22" spans="2:10" ht="15" customHeight="1" x14ac:dyDescent="0.15">
      <c r="B22" s="35"/>
      <c r="C22" s="36"/>
      <c r="D22" s="36"/>
      <c r="E22" s="36"/>
      <c r="F22" s="36"/>
      <c r="G22" s="36"/>
      <c r="H22" s="36"/>
      <c r="I22" s="36"/>
      <c r="J22" s="37"/>
    </row>
    <row r="23" spans="2:10" ht="15" customHeight="1" x14ac:dyDescent="0.15">
      <c r="B23" s="35"/>
      <c r="C23" s="36"/>
      <c r="D23" s="36"/>
      <c r="E23" s="36"/>
      <c r="F23" s="36"/>
      <c r="G23" s="36"/>
      <c r="H23" s="36"/>
      <c r="I23" s="36"/>
      <c r="J23" s="37"/>
    </row>
    <row r="24" spans="2:10" ht="15" customHeight="1" x14ac:dyDescent="0.15">
      <c r="B24" s="35"/>
      <c r="C24" s="36"/>
      <c r="D24" s="36"/>
      <c r="E24" s="36"/>
      <c r="F24" s="36"/>
      <c r="G24" s="36"/>
      <c r="H24" s="36"/>
      <c r="I24" s="36"/>
      <c r="J24" s="37"/>
    </row>
    <row r="25" spans="2:10" ht="15" customHeight="1" x14ac:dyDescent="0.15">
      <c r="B25" s="35"/>
      <c r="C25" s="36"/>
      <c r="D25" s="36"/>
      <c r="E25" s="36"/>
      <c r="F25" s="36"/>
      <c r="G25" s="36"/>
      <c r="H25" s="36"/>
      <c r="I25" s="36"/>
      <c r="J25" s="37"/>
    </row>
    <row r="26" spans="2:10" ht="15" customHeight="1" x14ac:dyDescent="0.15">
      <c r="B26" s="35"/>
      <c r="C26" s="36"/>
      <c r="D26" s="36"/>
      <c r="E26" s="36"/>
      <c r="F26" s="36"/>
      <c r="G26" s="36"/>
      <c r="H26" s="36"/>
      <c r="I26" s="36"/>
      <c r="J26" s="37"/>
    </row>
    <row r="27" spans="2:10" ht="15" customHeight="1" x14ac:dyDescent="0.15">
      <c r="B27" s="35"/>
      <c r="C27" s="36"/>
      <c r="D27" s="36"/>
      <c r="E27" s="36"/>
      <c r="F27" s="36"/>
      <c r="G27" s="36"/>
      <c r="H27" s="36"/>
      <c r="I27" s="36"/>
      <c r="J27" s="37"/>
    </row>
    <row r="28" spans="2:10" ht="15" customHeight="1" x14ac:dyDescent="0.15">
      <c r="B28" s="35"/>
      <c r="C28" s="36"/>
      <c r="D28" s="36"/>
      <c r="E28" s="36"/>
      <c r="F28" s="36"/>
      <c r="G28" s="36"/>
      <c r="H28" s="36"/>
      <c r="I28" s="36"/>
      <c r="J28" s="37"/>
    </row>
    <row r="29" spans="2:10" ht="15" customHeight="1" x14ac:dyDescent="0.15">
      <c r="B29" s="35"/>
      <c r="C29" s="36"/>
      <c r="D29" s="36"/>
      <c r="E29" s="36"/>
      <c r="F29" s="36"/>
      <c r="G29" s="36"/>
      <c r="H29" s="36"/>
      <c r="I29" s="36"/>
      <c r="J29" s="37"/>
    </row>
    <row r="30" spans="2:10" ht="15" customHeight="1" x14ac:dyDescent="0.15">
      <c r="B30" s="35"/>
      <c r="C30" s="36"/>
      <c r="D30" s="36"/>
      <c r="E30" s="36"/>
      <c r="F30" s="36"/>
      <c r="G30" s="36"/>
      <c r="H30" s="36"/>
      <c r="I30" s="36"/>
      <c r="J30" s="37"/>
    </row>
    <row r="31" spans="2:10" ht="15" customHeight="1" x14ac:dyDescent="0.15">
      <c r="B31" s="35"/>
      <c r="C31" s="36"/>
      <c r="D31" s="36"/>
      <c r="E31" s="36"/>
      <c r="F31" s="36"/>
      <c r="G31" s="36"/>
      <c r="H31" s="36"/>
      <c r="I31" s="36"/>
      <c r="J31" s="37"/>
    </row>
    <row r="32" spans="2:10" ht="15" customHeight="1" x14ac:dyDescent="0.15">
      <c r="B32" s="35"/>
      <c r="C32" s="36"/>
      <c r="D32" s="36"/>
      <c r="E32" s="36"/>
      <c r="F32" s="36"/>
      <c r="G32" s="36"/>
      <c r="H32" s="36"/>
      <c r="I32" s="36"/>
      <c r="J32" s="37"/>
    </row>
    <row r="33" spans="2:10" ht="15" customHeight="1" x14ac:dyDescent="0.15">
      <c r="B33" s="35"/>
      <c r="C33" s="36"/>
      <c r="D33" s="36"/>
      <c r="E33" s="36"/>
      <c r="F33" s="36"/>
      <c r="G33" s="36"/>
      <c r="H33" s="36"/>
      <c r="I33" s="36"/>
      <c r="J33" s="37"/>
    </row>
    <row r="34" spans="2:10" ht="15" customHeight="1" x14ac:dyDescent="0.15">
      <c r="B34" s="35"/>
      <c r="C34" s="36"/>
      <c r="D34" s="36"/>
      <c r="E34" s="36"/>
      <c r="F34" s="36"/>
      <c r="G34" s="36"/>
      <c r="H34" s="36"/>
      <c r="I34" s="36"/>
      <c r="J34" s="37"/>
    </row>
    <row r="35" spans="2:10" ht="15" customHeight="1" x14ac:dyDescent="0.15">
      <c r="B35" s="35"/>
      <c r="C35" s="36"/>
      <c r="D35" s="36"/>
      <c r="E35" s="36"/>
      <c r="F35" s="36"/>
      <c r="G35" s="36"/>
      <c r="H35" s="36"/>
      <c r="I35" s="36"/>
      <c r="J35" s="37"/>
    </row>
    <row r="36" spans="2:10" ht="15" customHeight="1" x14ac:dyDescent="0.15">
      <c r="B36" s="35"/>
      <c r="C36" s="36"/>
      <c r="D36" s="36"/>
      <c r="E36" s="36"/>
      <c r="F36" s="36"/>
      <c r="G36" s="36"/>
      <c r="H36" s="36"/>
      <c r="I36" s="36"/>
      <c r="J36" s="37"/>
    </row>
    <row r="37" spans="2:10" ht="15" customHeight="1" x14ac:dyDescent="0.15">
      <c r="B37" s="35"/>
      <c r="C37" s="36"/>
      <c r="D37" s="36"/>
      <c r="E37" s="36"/>
      <c r="F37" s="36"/>
      <c r="G37" s="36"/>
      <c r="H37" s="36"/>
      <c r="I37" s="36"/>
      <c r="J37" s="37"/>
    </row>
    <row r="38" spans="2:10" ht="15" customHeight="1" x14ac:dyDescent="0.15">
      <c r="B38" s="35"/>
      <c r="C38" s="36"/>
      <c r="D38" s="36"/>
      <c r="E38" s="36"/>
      <c r="F38" s="36"/>
      <c r="G38" s="36"/>
      <c r="H38" s="36"/>
      <c r="I38" s="36"/>
      <c r="J38" s="37"/>
    </row>
    <row r="39" spans="2:10" ht="15" customHeight="1" x14ac:dyDescent="0.15">
      <c r="B39" s="35"/>
      <c r="C39" s="36"/>
      <c r="D39" s="36"/>
      <c r="E39" s="36"/>
      <c r="F39" s="36"/>
      <c r="G39" s="36"/>
      <c r="H39" s="36"/>
      <c r="I39" s="36"/>
      <c r="J39" s="37"/>
    </row>
    <row r="40" spans="2:10" ht="15" customHeight="1" x14ac:dyDescent="0.15">
      <c r="B40" s="35"/>
      <c r="C40" s="36"/>
      <c r="D40" s="36"/>
      <c r="E40" s="36"/>
      <c r="F40" s="36"/>
      <c r="G40" s="36"/>
      <c r="H40" s="36"/>
      <c r="I40" s="36"/>
      <c r="J40" s="37"/>
    </row>
    <row r="41" spans="2:10" ht="15" customHeight="1" x14ac:dyDescent="0.15">
      <c r="B41" s="35"/>
      <c r="C41" s="36"/>
      <c r="D41" s="36"/>
      <c r="E41" s="36"/>
      <c r="F41" s="36"/>
      <c r="G41" s="36"/>
      <c r="H41" s="36"/>
      <c r="I41" s="36"/>
      <c r="J41" s="37"/>
    </row>
    <row r="42" spans="2:10" ht="15" customHeight="1" x14ac:dyDescent="0.15">
      <c r="B42" s="35"/>
      <c r="C42" s="36"/>
      <c r="D42" s="36"/>
      <c r="E42" s="36"/>
      <c r="F42" s="36"/>
      <c r="G42" s="36"/>
      <c r="H42" s="36"/>
      <c r="I42" s="36"/>
      <c r="J42" s="37"/>
    </row>
    <row r="43" spans="2:10" ht="15" customHeight="1" x14ac:dyDescent="0.15">
      <c r="B43" s="35"/>
      <c r="C43" s="36"/>
      <c r="D43" s="36"/>
      <c r="E43" s="36"/>
      <c r="F43" s="36"/>
      <c r="G43" s="36"/>
      <c r="H43" s="36"/>
      <c r="I43" s="36"/>
      <c r="J43" s="37"/>
    </row>
    <row r="44" spans="2:10" ht="15" customHeight="1" x14ac:dyDescent="0.15">
      <c r="B44" s="35"/>
      <c r="C44" s="36"/>
      <c r="D44" s="36"/>
      <c r="E44" s="36"/>
      <c r="F44" s="36"/>
      <c r="G44" s="36"/>
      <c r="H44" s="36"/>
      <c r="I44" s="36"/>
      <c r="J44" s="37"/>
    </row>
    <row r="45" spans="2:10" ht="15" customHeight="1" x14ac:dyDescent="0.15">
      <c r="B45" s="35"/>
      <c r="C45" s="36"/>
      <c r="D45" s="36"/>
      <c r="E45" s="36"/>
      <c r="F45" s="36"/>
      <c r="G45" s="36"/>
      <c r="H45" s="36"/>
      <c r="I45" s="36"/>
      <c r="J45" s="37"/>
    </row>
    <row r="46" spans="2:10" ht="15" customHeight="1" x14ac:dyDescent="0.15">
      <c r="B46" s="35"/>
      <c r="C46" s="36"/>
      <c r="D46" s="36"/>
      <c r="E46" s="36"/>
      <c r="F46" s="36"/>
      <c r="G46" s="36"/>
      <c r="H46" s="36"/>
      <c r="I46" s="36"/>
      <c r="J46" s="37"/>
    </row>
    <row r="47" spans="2:10" ht="15" customHeight="1" x14ac:dyDescent="0.15">
      <c r="B47" s="35"/>
      <c r="C47" s="36"/>
      <c r="D47" s="36"/>
      <c r="E47" s="36"/>
      <c r="F47" s="36"/>
      <c r="G47" s="36"/>
      <c r="H47" s="36"/>
      <c r="I47" s="36"/>
      <c r="J47" s="37"/>
    </row>
    <row r="48" spans="2:10" ht="15" customHeight="1" x14ac:dyDescent="0.15">
      <c r="B48" s="35"/>
      <c r="C48" s="36"/>
      <c r="D48" s="36"/>
      <c r="E48" s="36"/>
      <c r="F48" s="36"/>
      <c r="G48" s="36"/>
      <c r="H48" s="36"/>
      <c r="I48" s="36"/>
      <c r="J48" s="37"/>
    </row>
    <row r="49" spans="2:10" ht="15" customHeight="1" x14ac:dyDescent="0.15">
      <c r="B49" s="35"/>
      <c r="C49" s="36"/>
      <c r="D49" s="36"/>
      <c r="E49" s="36"/>
      <c r="F49" s="36"/>
      <c r="G49" s="36"/>
      <c r="H49" s="36"/>
      <c r="I49" s="36"/>
      <c r="J49" s="37"/>
    </row>
    <row r="50" spans="2:10" ht="15" customHeight="1" x14ac:dyDescent="0.15">
      <c r="B50" s="35"/>
      <c r="C50" s="36"/>
      <c r="D50" s="36"/>
      <c r="E50" s="36"/>
      <c r="F50" s="36"/>
      <c r="G50" s="36"/>
      <c r="H50" s="36"/>
      <c r="I50" s="36"/>
      <c r="J50" s="37"/>
    </row>
    <row r="51" spans="2:10" ht="15" customHeight="1" x14ac:dyDescent="0.15">
      <c r="B51" s="35"/>
      <c r="C51" s="36"/>
      <c r="D51" s="36"/>
      <c r="E51" s="36"/>
      <c r="F51" s="36"/>
      <c r="G51" s="36"/>
      <c r="H51" s="36"/>
      <c r="I51" s="36"/>
      <c r="J51" s="37"/>
    </row>
    <row r="52" spans="2:10" ht="15" customHeight="1" x14ac:dyDescent="0.15">
      <c r="B52" s="35"/>
      <c r="C52" s="36"/>
      <c r="D52" s="36"/>
      <c r="E52" s="36"/>
      <c r="F52" s="36"/>
      <c r="G52" s="36"/>
      <c r="H52" s="36"/>
      <c r="I52" s="36"/>
      <c r="J52" s="37"/>
    </row>
    <row r="53" spans="2:10" ht="15" customHeight="1" x14ac:dyDescent="0.15">
      <c r="B53" s="35"/>
      <c r="C53" s="36"/>
      <c r="D53" s="36"/>
      <c r="E53" s="36"/>
      <c r="F53" s="36"/>
      <c r="G53" s="36"/>
      <c r="H53" s="36"/>
      <c r="I53" s="36"/>
      <c r="J53" s="37"/>
    </row>
    <row r="54" spans="2:10" ht="15" customHeight="1" x14ac:dyDescent="0.15">
      <c r="B54" s="35"/>
      <c r="C54" s="36"/>
      <c r="D54" s="36"/>
      <c r="E54" s="36"/>
      <c r="F54" s="36"/>
      <c r="G54" s="36"/>
      <c r="H54" s="36"/>
      <c r="I54" s="36"/>
      <c r="J54" s="37"/>
    </row>
    <row r="55" spans="2:10" ht="15" customHeight="1" x14ac:dyDescent="0.15">
      <c r="B55" s="35"/>
      <c r="C55" s="36"/>
      <c r="D55" s="36"/>
      <c r="E55" s="36"/>
      <c r="F55" s="36"/>
      <c r="G55" s="36"/>
      <c r="H55" s="36"/>
      <c r="I55" s="36"/>
      <c r="J55" s="37"/>
    </row>
    <row r="56" spans="2:10" ht="15" customHeight="1" x14ac:dyDescent="0.15">
      <c r="B56" s="35"/>
      <c r="C56" s="36"/>
      <c r="D56" s="36"/>
      <c r="E56" s="36"/>
      <c r="F56" s="36"/>
      <c r="G56" s="36"/>
      <c r="H56" s="36"/>
      <c r="I56" s="36"/>
      <c r="J56" s="37"/>
    </row>
    <row r="57" spans="2:10" ht="15" customHeight="1" x14ac:dyDescent="0.15">
      <c r="B57" s="35"/>
      <c r="C57" s="36"/>
      <c r="D57" s="36"/>
      <c r="E57" s="36"/>
      <c r="F57" s="36"/>
      <c r="G57" s="36"/>
      <c r="H57" s="36"/>
      <c r="I57" s="36"/>
      <c r="J57" s="37"/>
    </row>
    <row r="58" spans="2:10" ht="15" customHeight="1" x14ac:dyDescent="0.15">
      <c r="B58" s="35"/>
      <c r="C58" s="36"/>
      <c r="D58" s="36"/>
      <c r="E58" s="36"/>
      <c r="F58" s="36"/>
      <c r="G58" s="36"/>
      <c r="H58" s="36"/>
      <c r="I58" s="36"/>
      <c r="J58" s="37"/>
    </row>
    <row r="59" spans="2:10" ht="15" customHeight="1" x14ac:dyDescent="0.15">
      <c r="B59" s="35"/>
      <c r="C59" s="36"/>
      <c r="D59" s="36"/>
      <c r="E59" s="36"/>
      <c r="F59" s="36"/>
      <c r="G59" s="36"/>
      <c r="H59" s="36"/>
      <c r="I59" s="36"/>
      <c r="J59" s="37"/>
    </row>
    <row r="60" spans="2:10" ht="15" customHeight="1" x14ac:dyDescent="0.15">
      <c r="B60" s="35"/>
      <c r="C60" s="36"/>
      <c r="D60" s="36"/>
      <c r="E60" s="36"/>
      <c r="F60" s="36"/>
      <c r="G60" s="36"/>
      <c r="H60" s="36"/>
      <c r="I60" s="36"/>
      <c r="J60" s="37"/>
    </row>
    <row r="61" spans="2:10" ht="15" customHeight="1" x14ac:dyDescent="0.15">
      <c r="B61" s="35"/>
      <c r="C61" s="36"/>
      <c r="D61" s="36"/>
      <c r="E61" s="36"/>
      <c r="F61" s="36"/>
      <c r="G61" s="36"/>
      <c r="H61" s="36"/>
      <c r="I61" s="36"/>
      <c r="J61" s="37"/>
    </row>
    <row r="62" spans="2:10" ht="15" customHeight="1" x14ac:dyDescent="0.15">
      <c r="B62" s="35"/>
      <c r="C62" s="36"/>
      <c r="D62" s="36"/>
      <c r="E62" s="36"/>
      <c r="F62" s="36"/>
      <c r="G62" s="36"/>
      <c r="H62" s="36"/>
      <c r="I62" s="36"/>
      <c r="J62" s="37"/>
    </row>
    <row r="63" spans="2:10" ht="15" customHeight="1" x14ac:dyDescent="0.15">
      <c r="B63" s="35"/>
      <c r="C63" s="36"/>
      <c r="D63" s="36"/>
      <c r="E63" s="36"/>
      <c r="F63" s="36"/>
      <c r="G63" s="36"/>
      <c r="H63" s="36"/>
      <c r="I63" s="36"/>
      <c r="J63" s="37"/>
    </row>
    <row r="64" spans="2:10" ht="15" customHeight="1" x14ac:dyDescent="0.15">
      <c r="B64" s="35"/>
      <c r="C64" s="36"/>
      <c r="D64" s="36"/>
      <c r="E64" s="36"/>
      <c r="F64" s="36"/>
      <c r="G64" s="36"/>
      <c r="H64" s="36"/>
      <c r="I64" s="36"/>
      <c r="J64" s="37"/>
    </row>
    <row r="65" spans="2:19" ht="15" customHeight="1" x14ac:dyDescent="0.15">
      <c r="B65" s="35"/>
      <c r="C65" s="36"/>
      <c r="D65" s="36"/>
      <c r="E65" s="36"/>
      <c r="F65" s="36"/>
      <c r="G65" s="36"/>
      <c r="H65" s="36"/>
      <c r="I65" s="36"/>
      <c r="J65" s="37"/>
    </row>
    <row r="66" spans="2:19" ht="15" customHeight="1" x14ac:dyDescent="0.15">
      <c r="B66" s="35"/>
      <c r="C66" s="36"/>
      <c r="D66" s="36"/>
      <c r="E66" s="36"/>
      <c r="F66" s="36"/>
      <c r="G66" s="36"/>
      <c r="H66" s="36"/>
      <c r="I66" s="36"/>
      <c r="J66" s="37"/>
    </row>
    <row r="67" spans="2:19" ht="15" customHeight="1" x14ac:dyDescent="0.15">
      <c r="B67" s="35"/>
      <c r="C67" s="36"/>
      <c r="D67" s="36"/>
      <c r="E67" s="36"/>
      <c r="F67" s="36"/>
      <c r="G67" s="36"/>
      <c r="H67" s="36"/>
      <c r="I67" s="36"/>
      <c r="J67" s="37"/>
      <c r="L67" s="1" t="s">
        <v>90</v>
      </c>
    </row>
    <row r="68" spans="2:19" ht="15" customHeight="1" x14ac:dyDescent="0.15">
      <c r="B68" s="35"/>
      <c r="C68" s="36"/>
      <c r="D68" s="36"/>
      <c r="E68" s="36"/>
      <c r="F68" s="36"/>
      <c r="G68" s="36"/>
      <c r="H68" s="36"/>
      <c r="I68" s="36"/>
      <c r="J68" s="37"/>
    </row>
    <row r="69" spans="2:19" ht="15" customHeight="1" x14ac:dyDescent="0.15">
      <c r="B69" s="35"/>
      <c r="C69" s="36"/>
      <c r="D69" s="36"/>
      <c r="E69" s="36"/>
      <c r="F69" s="36"/>
      <c r="G69" s="36"/>
      <c r="H69" s="36"/>
      <c r="I69" s="36"/>
      <c r="J69" s="37"/>
      <c r="L69" s="1">
        <v>4700</v>
      </c>
      <c r="M69" s="20" t="s">
        <v>85</v>
      </c>
      <c r="N69" s="1">
        <v>22000</v>
      </c>
      <c r="O69" s="20" t="s">
        <v>86</v>
      </c>
      <c r="P69" s="1">
        <f>N69+L69</f>
        <v>26700</v>
      </c>
      <c r="Q69" s="20" t="s">
        <v>87</v>
      </c>
    </row>
    <row r="70" spans="2:19" ht="15" customHeight="1" x14ac:dyDescent="0.15">
      <c r="B70" s="35"/>
      <c r="C70" s="36"/>
      <c r="D70" s="36"/>
      <c r="E70" s="36"/>
      <c r="F70" s="36"/>
      <c r="G70" s="36"/>
      <c r="H70" s="36"/>
      <c r="I70" s="36"/>
      <c r="J70" s="37"/>
      <c r="L70" s="1">
        <v>1.25</v>
      </c>
      <c r="M70" s="1" t="s">
        <v>88</v>
      </c>
      <c r="N70" s="21">
        <f>P69</f>
        <v>26700</v>
      </c>
      <c r="O70" s="20" t="s">
        <v>89</v>
      </c>
      <c r="P70" s="1">
        <f>L69</f>
        <v>4700</v>
      </c>
      <c r="Q70" s="20" t="s">
        <v>86</v>
      </c>
      <c r="R70" s="1">
        <f>L70*N70/P70</f>
        <v>7.1010638297872344</v>
      </c>
      <c r="S70" s="1" t="s">
        <v>84</v>
      </c>
    </row>
    <row r="71" spans="2:19" ht="15" customHeight="1" x14ac:dyDescent="0.15">
      <c r="B71" s="35"/>
      <c r="C71" s="36"/>
      <c r="D71" s="36"/>
      <c r="E71" s="36"/>
      <c r="F71" s="36"/>
      <c r="G71" s="36"/>
      <c r="H71" s="36"/>
      <c r="I71" s="36"/>
      <c r="J71" s="37"/>
      <c r="L71" s="1" t="s">
        <v>91</v>
      </c>
    </row>
    <row r="72" spans="2:19" ht="15" customHeight="1" x14ac:dyDescent="0.15">
      <c r="B72" s="35"/>
      <c r="C72" s="36"/>
      <c r="D72" s="36"/>
      <c r="E72" s="36"/>
      <c r="F72" s="36"/>
      <c r="G72" s="36"/>
      <c r="H72" s="36"/>
      <c r="I72" s="36"/>
      <c r="J72" s="37"/>
      <c r="L72" s="1">
        <f>L69*1.05</f>
        <v>4935</v>
      </c>
      <c r="M72" s="20" t="s">
        <v>85</v>
      </c>
      <c r="N72" s="1">
        <f>N69*0.95</f>
        <v>20900</v>
      </c>
      <c r="O72" s="20" t="s">
        <v>86</v>
      </c>
      <c r="P72" s="1">
        <f>N72+L72</f>
        <v>25835</v>
      </c>
      <c r="Q72" s="20" t="s">
        <v>87</v>
      </c>
    </row>
    <row r="73" spans="2:19" ht="15" customHeight="1" x14ac:dyDescent="0.15">
      <c r="B73" s="35"/>
      <c r="C73" s="36"/>
      <c r="D73" s="36"/>
      <c r="E73" s="36"/>
      <c r="F73" s="36"/>
      <c r="G73" s="36"/>
      <c r="H73" s="36"/>
      <c r="I73" s="36"/>
      <c r="J73" s="37"/>
      <c r="L73" s="1">
        <v>1.25</v>
      </c>
      <c r="M73" s="1" t="s">
        <v>88</v>
      </c>
      <c r="N73" s="21">
        <f>P72</f>
        <v>25835</v>
      </c>
      <c r="O73" s="20" t="s">
        <v>89</v>
      </c>
      <c r="P73" s="1">
        <f>L72</f>
        <v>4935</v>
      </c>
      <c r="Q73" s="20" t="s">
        <v>86</v>
      </c>
      <c r="R73" s="1">
        <f>L73*N73/P73</f>
        <v>6.5438196555217836</v>
      </c>
      <c r="S73" s="1" t="s">
        <v>84</v>
      </c>
    </row>
    <row r="74" spans="2:19" ht="15" customHeight="1" x14ac:dyDescent="0.15">
      <c r="B74" s="35"/>
      <c r="C74" s="36"/>
      <c r="D74" s="36"/>
      <c r="E74" s="36"/>
      <c r="F74" s="36"/>
      <c r="G74" s="36"/>
      <c r="H74" s="36"/>
      <c r="I74" s="36"/>
      <c r="J74" s="37"/>
    </row>
    <row r="75" spans="2:19" ht="15" customHeight="1" x14ac:dyDescent="0.15">
      <c r="B75" s="35"/>
      <c r="C75" s="36"/>
      <c r="D75" s="36"/>
      <c r="E75" s="36"/>
      <c r="F75" s="36"/>
      <c r="G75" s="36"/>
      <c r="H75" s="36"/>
      <c r="I75" s="36"/>
      <c r="J75" s="37"/>
      <c r="L75" s="1">
        <f>L69*0.95</f>
        <v>4465</v>
      </c>
      <c r="M75" s="20" t="s">
        <v>85</v>
      </c>
      <c r="N75" s="1">
        <f>N69*1.05</f>
        <v>23100</v>
      </c>
      <c r="O75" s="20" t="s">
        <v>86</v>
      </c>
      <c r="P75" s="1">
        <f>N75+L75</f>
        <v>27565</v>
      </c>
      <c r="Q75" s="20" t="s">
        <v>87</v>
      </c>
    </row>
    <row r="76" spans="2:19" ht="15" customHeight="1" x14ac:dyDescent="0.15">
      <c r="B76" s="35"/>
      <c r="C76" s="36"/>
      <c r="D76" s="36"/>
      <c r="E76" s="36"/>
      <c r="F76" s="36"/>
      <c r="G76" s="36"/>
      <c r="H76" s="36"/>
      <c r="I76" s="36"/>
      <c r="J76" s="37"/>
      <c r="L76" s="1">
        <v>1.25</v>
      </c>
      <c r="M76" s="1" t="s">
        <v>88</v>
      </c>
      <c r="N76" s="21">
        <f>P75</f>
        <v>27565</v>
      </c>
      <c r="O76" s="20" t="s">
        <v>89</v>
      </c>
      <c r="P76" s="1">
        <f>L75</f>
        <v>4465</v>
      </c>
      <c r="Q76" s="20" t="s">
        <v>86</v>
      </c>
      <c r="R76" s="1">
        <f>L76*N76/P76</f>
        <v>7.7169652855543109</v>
      </c>
      <c r="S76" s="1" t="s">
        <v>84</v>
      </c>
    </row>
    <row r="77" spans="2:19" ht="15" customHeight="1" x14ac:dyDescent="0.15">
      <c r="B77" s="35"/>
      <c r="C77" s="36"/>
      <c r="D77" s="36"/>
      <c r="E77" s="36"/>
      <c r="F77" s="36"/>
      <c r="G77" s="36"/>
      <c r="H77" s="36"/>
      <c r="I77" s="36"/>
      <c r="J77" s="37"/>
    </row>
    <row r="78" spans="2:19" ht="15" customHeight="1" x14ac:dyDescent="0.15">
      <c r="B78" s="35"/>
      <c r="C78" s="36"/>
      <c r="D78" s="36"/>
      <c r="E78" s="36"/>
      <c r="F78" s="36"/>
      <c r="G78" s="36"/>
      <c r="H78" s="36"/>
      <c r="I78" s="36"/>
      <c r="J78" s="37"/>
    </row>
    <row r="79" spans="2:19" ht="15" customHeight="1" x14ac:dyDescent="0.15">
      <c r="B79" s="35"/>
      <c r="C79" s="36"/>
      <c r="D79" s="36"/>
      <c r="E79" s="36"/>
      <c r="F79" s="36"/>
      <c r="G79" s="36"/>
      <c r="H79" s="36"/>
      <c r="I79" s="36"/>
      <c r="J79" s="37"/>
    </row>
    <row r="80" spans="2:19" ht="15" customHeight="1" x14ac:dyDescent="0.15">
      <c r="B80" s="35"/>
      <c r="C80" s="36"/>
      <c r="D80" s="36"/>
      <c r="E80" s="36"/>
      <c r="F80" s="36"/>
      <c r="G80" s="36"/>
      <c r="H80" s="36"/>
      <c r="I80" s="36"/>
      <c r="J80" s="37"/>
    </row>
    <row r="81" spans="2:10" ht="15" customHeight="1" x14ac:dyDescent="0.15">
      <c r="B81" s="35"/>
      <c r="C81" s="36"/>
      <c r="D81" s="36"/>
      <c r="E81" s="36"/>
      <c r="F81" s="36"/>
      <c r="G81" s="36"/>
      <c r="H81" s="36"/>
      <c r="I81" s="36"/>
      <c r="J81" s="37"/>
    </row>
    <row r="82" spans="2:10" ht="15" customHeight="1" x14ac:dyDescent="0.15">
      <c r="B82" s="35"/>
      <c r="C82" s="36"/>
      <c r="D82" s="36"/>
      <c r="E82" s="36"/>
      <c r="F82" s="36"/>
      <c r="G82" s="36"/>
      <c r="H82" s="36"/>
      <c r="I82" s="36"/>
      <c r="J82" s="37"/>
    </row>
    <row r="83" spans="2:10" ht="15" customHeight="1" x14ac:dyDescent="0.15">
      <c r="B83" s="35"/>
      <c r="C83" s="36"/>
      <c r="D83" s="36"/>
      <c r="E83" s="36"/>
      <c r="F83" s="36"/>
      <c r="G83" s="36"/>
      <c r="H83" s="36"/>
      <c r="I83" s="36"/>
      <c r="J83" s="37"/>
    </row>
    <row r="84" spans="2:10" ht="15" customHeight="1" x14ac:dyDescent="0.15">
      <c r="B84" s="35"/>
      <c r="C84" s="36"/>
      <c r="D84" s="36"/>
      <c r="E84" s="36"/>
      <c r="F84" s="36"/>
      <c r="G84" s="36"/>
      <c r="H84" s="36"/>
      <c r="I84" s="36"/>
      <c r="J84" s="37"/>
    </row>
    <row r="85" spans="2:10" ht="15" customHeight="1" x14ac:dyDescent="0.15">
      <c r="B85" s="35"/>
      <c r="C85" s="36"/>
      <c r="D85" s="36"/>
      <c r="E85" s="36"/>
      <c r="F85" s="36"/>
      <c r="G85" s="36"/>
      <c r="H85" s="36"/>
      <c r="I85" s="36"/>
      <c r="J85" s="37"/>
    </row>
    <row r="86" spans="2:10" ht="15" customHeight="1" x14ac:dyDescent="0.15">
      <c r="B86" s="35"/>
      <c r="C86" s="36"/>
      <c r="D86" s="36"/>
      <c r="E86" s="36"/>
      <c r="F86" s="36"/>
      <c r="G86" s="36"/>
      <c r="H86" s="36"/>
      <c r="I86" s="36"/>
      <c r="J86" s="37"/>
    </row>
    <row r="87" spans="2:10" ht="15" customHeight="1" x14ac:dyDescent="0.15">
      <c r="B87" s="35"/>
      <c r="C87" s="36"/>
      <c r="D87" s="36"/>
      <c r="E87" s="36"/>
      <c r="F87" s="36"/>
      <c r="G87" s="36"/>
      <c r="H87" s="36"/>
      <c r="I87" s="36"/>
      <c r="J87" s="37"/>
    </row>
    <row r="88" spans="2:10" ht="15" customHeight="1" x14ac:dyDescent="0.15">
      <c r="B88" s="35"/>
      <c r="C88" s="36"/>
      <c r="D88" s="36"/>
      <c r="E88" s="36"/>
      <c r="F88" s="36"/>
      <c r="G88" s="36"/>
      <c r="H88" s="36"/>
      <c r="I88" s="36"/>
      <c r="J88" s="37"/>
    </row>
    <row r="89" spans="2:10" ht="15" customHeight="1" x14ac:dyDescent="0.15">
      <c r="B89" s="35"/>
      <c r="C89" s="36"/>
      <c r="D89" s="36"/>
      <c r="E89" s="36"/>
      <c r="F89" s="36"/>
      <c r="G89" s="36"/>
      <c r="H89" s="36"/>
      <c r="I89" s="36"/>
      <c r="J89" s="37"/>
    </row>
    <row r="90" spans="2:10" ht="15" customHeight="1" x14ac:dyDescent="0.15">
      <c r="B90" s="35"/>
      <c r="C90" s="36"/>
      <c r="D90" s="36"/>
      <c r="E90" s="36"/>
      <c r="F90" s="36"/>
      <c r="G90" s="36"/>
      <c r="H90" s="36"/>
      <c r="I90" s="36"/>
      <c r="J90" s="37"/>
    </row>
    <row r="91" spans="2:10" ht="15" customHeight="1" x14ac:dyDescent="0.15">
      <c r="B91" s="35"/>
      <c r="C91" s="36"/>
      <c r="D91" s="36"/>
      <c r="E91" s="36"/>
      <c r="F91" s="36"/>
      <c r="G91" s="36"/>
      <c r="H91" s="36"/>
      <c r="I91" s="36"/>
      <c r="J91" s="37"/>
    </row>
    <row r="92" spans="2:10" ht="15" customHeight="1" x14ac:dyDescent="0.15">
      <c r="B92" s="35"/>
      <c r="C92" s="36"/>
      <c r="D92" s="36"/>
      <c r="E92" s="36"/>
      <c r="F92" s="36"/>
      <c r="G92" s="36"/>
      <c r="H92" s="36"/>
      <c r="I92" s="36"/>
      <c r="J92" s="37"/>
    </row>
    <row r="93" spans="2:10" ht="15" customHeight="1" x14ac:dyDescent="0.15">
      <c r="B93" s="35"/>
      <c r="C93" s="36"/>
      <c r="D93" s="36"/>
      <c r="E93" s="36"/>
      <c r="F93" s="36"/>
      <c r="G93" s="36"/>
      <c r="H93" s="36"/>
      <c r="I93" s="36"/>
      <c r="J93" s="37"/>
    </row>
    <row r="94" spans="2:10" ht="15" customHeight="1" x14ac:dyDescent="0.15">
      <c r="B94" s="35"/>
      <c r="C94" s="36"/>
      <c r="D94" s="36"/>
      <c r="E94" s="36"/>
      <c r="F94" s="36"/>
      <c r="G94" s="36"/>
      <c r="H94" s="36"/>
      <c r="I94" s="36"/>
      <c r="J94" s="37"/>
    </row>
    <row r="95" spans="2:10" ht="15" customHeight="1" x14ac:dyDescent="0.15">
      <c r="B95" s="35"/>
      <c r="C95" s="36"/>
      <c r="D95" s="36"/>
      <c r="E95" s="36"/>
      <c r="F95" s="36"/>
      <c r="G95" s="36"/>
      <c r="H95" s="36"/>
      <c r="I95" s="36"/>
      <c r="J95" s="37"/>
    </row>
    <row r="96" spans="2:10" ht="15" customHeight="1" x14ac:dyDescent="0.15">
      <c r="B96" s="35"/>
      <c r="C96" s="36"/>
      <c r="D96" s="36"/>
      <c r="E96" s="36"/>
      <c r="F96" s="36"/>
      <c r="G96" s="36"/>
      <c r="H96" s="36"/>
      <c r="I96" s="36"/>
      <c r="J96" s="37"/>
    </row>
    <row r="97" spans="2:10" ht="15" customHeight="1" x14ac:dyDescent="0.15">
      <c r="B97" s="35"/>
      <c r="C97" s="36"/>
      <c r="D97" s="36"/>
      <c r="E97" s="36"/>
      <c r="F97" s="36"/>
      <c r="G97" s="36"/>
      <c r="H97" s="36"/>
      <c r="I97" s="36"/>
      <c r="J97" s="37"/>
    </row>
    <row r="98" spans="2:10" ht="15" customHeight="1" x14ac:dyDescent="0.15">
      <c r="B98" s="35"/>
      <c r="C98" s="36"/>
      <c r="D98" s="36"/>
      <c r="E98" s="36"/>
      <c r="F98" s="36"/>
      <c r="G98" s="36"/>
      <c r="H98" s="36"/>
      <c r="I98" s="36"/>
      <c r="J98" s="37"/>
    </row>
    <row r="99" spans="2:10" ht="15" customHeight="1" x14ac:dyDescent="0.15">
      <c r="B99" s="35"/>
      <c r="C99" s="36"/>
      <c r="D99" s="36"/>
      <c r="E99" s="36"/>
      <c r="F99" s="36"/>
      <c r="G99" s="36"/>
      <c r="H99" s="36"/>
      <c r="I99" s="36"/>
      <c r="J99" s="37"/>
    </row>
    <row r="100" spans="2:10" ht="15" customHeight="1" x14ac:dyDescent="0.15">
      <c r="B100" s="35"/>
      <c r="C100" s="36"/>
      <c r="D100" s="36"/>
      <c r="E100" s="36"/>
      <c r="F100" s="36"/>
      <c r="G100" s="36"/>
      <c r="H100" s="36"/>
      <c r="I100" s="36"/>
      <c r="J100" s="37"/>
    </row>
    <row r="101" spans="2:10" ht="15" customHeight="1" x14ac:dyDescent="0.15">
      <c r="B101" s="35"/>
      <c r="C101" s="36"/>
      <c r="D101" s="36"/>
      <c r="E101" s="36"/>
      <c r="F101" s="36"/>
      <c r="G101" s="36"/>
      <c r="H101" s="36"/>
      <c r="I101" s="36"/>
      <c r="J101" s="37"/>
    </row>
    <row r="102" spans="2:10" ht="15" customHeight="1" x14ac:dyDescent="0.15">
      <c r="B102" s="35"/>
      <c r="C102" s="36"/>
      <c r="D102" s="36"/>
      <c r="E102" s="36"/>
      <c r="F102" s="36"/>
      <c r="G102" s="36"/>
      <c r="H102" s="36"/>
      <c r="I102" s="36"/>
      <c r="J102" s="37"/>
    </row>
    <row r="103" spans="2:10" ht="15" customHeight="1" x14ac:dyDescent="0.15">
      <c r="B103" s="35"/>
      <c r="C103" s="36"/>
      <c r="D103" s="36"/>
      <c r="E103" s="36"/>
      <c r="F103" s="36"/>
      <c r="G103" s="36"/>
      <c r="H103" s="36"/>
      <c r="I103" s="36"/>
      <c r="J103" s="37"/>
    </row>
    <row r="104" spans="2:10" ht="15" customHeight="1" x14ac:dyDescent="0.15">
      <c r="B104" s="35"/>
      <c r="C104" s="36"/>
      <c r="D104" s="36"/>
      <c r="E104" s="36"/>
      <c r="F104" s="36"/>
      <c r="G104" s="36"/>
      <c r="H104" s="36"/>
      <c r="I104" s="36"/>
      <c r="J104" s="37"/>
    </row>
    <row r="105" spans="2:10" ht="15" customHeight="1" x14ac:dyDescent="0.15">
      <c r="B105" s="35"/>
      <c r="C105" s="36"/>
      <c r="D105" s="36"/>
      <c r="E105" s="36"/>
      <c r="F105" s="36"/>
      <c r="G105" s="36"/>
      <c r="H105" s="36"/>
      <c r="I105" s="36"/>
      <c r="J105" s="37"/>
    </row>
    <row r="106" spans="2:10" ht="15" customHeight="1" x14ac:dyDescent="0.15">
      <c r="B106" s="35"/>
      <c r="C106" s="36"/>
      <c r="D106" s="36"/>
      <c r="E106" s="36"/>
      <c r="F106" s="36"/>
      <c r="G106" s="36"/>
      <c r="H106" s="36"/>
      <c r="I106" s="36"/>
      <c r="J106" s="37"/>
    </row>
    <row r="107" spans="2:10" ht="15" customHeight="1" x14ac:dyDescent="0.15">
      <c r="B107" s="35"/>
      <c r="C107" s="36"/>
      <c r="D107" s="36"/>
      <c r="E107" s="36"/>
      <c r="F107" s="36"/>
      <c r="G107" s="36"/>
      <c r="H107" s="36"/>
      <c r="I107" s="36"/>
      <c r="J107" s="37"/>
    </row>
    <row r="108" spans="2:10" ht="15" customHeight="1" x14ac:dyDescent="0.15">
      <c r="B108" s="35"/>
      <c r="C108" s="36"/>
      <c r="D108" s="36"/>
      <c r="E108" s="36"/>
      <c r="F108" s="36"/>
      <c r="G108" s="36"/>
      <c r="H108" s="36"/>
      <c r="I108" s="36"/>
      <c r="J108" s="37"/>
    </row>
    <row r="109" spans="2:10" ht="15" customHeight="1" x14ac:dyDescent="0.15">
      <c r="B109" s="35"/>
      <c r="C109" s="36"/>
      <c r="D109" s="36"/>
      <c r="E109" s="36"/>
      <c r="F109" s="36"/>
      <c r="G109" s="36"/>
      <c r="H109" s="36"/>
      <c r="I109" s="36"/>
      <c r="J109" s="37"/>
    </row>
    <row r="110" spans="2:10" ht="15" customHeight="1" x14ac:dyDescent="0.15">
      <c r="B110" s="35"/>
      <c r="C110" s="36"/>
      <c r="D110" s="36"/>
      <c r="E110" s="36"/>
      <c r="F110" s="36"/>
      <c r="G110" s="36"/>
      <c r="H110" s="36"/>
      <c r="I110" s="36"/>
      <c r="J110" s="37"/>
    </row>
    <row r="111" spans="2:10" ht="15" customHeight="1" x14ac:dyDescent="0.15">
      <c r="B111" s="35"/>
      <c r="C111" s="36"/>
      <c r="D111" s="36"/>
      <c r="E111" s="36"/>
      <c r="F111" s="36"/>
      <c r="G111" s="36"/>
      <c r="H111" s="36"/>
      <c r="I111" s="36"/>
      <c r="J111" s="37"/>
    </row>
    <row r="112" spans="2:10" ht="15" customHeight="1" x14ac:dyDescent="0.15">
      <c r="B112" s="35"/>
      <c r="C112" s="36"/>
      <c r="D112" s="36"/>
      <c r="E112" s="36"/>
      <c r="F112" s="36"/>
      <c r="G112" s="36"/>
      <c r="H112" s="36"/>
      <c r="I112" s="36"/>
      <c r="J112" s="37"/>
    </row>
    <row r="113" spans="2:10" ht="15" customHeight="1" x14ac:dyDescent="0.15">
      <c r="B113" s="35"/>
      <c r="C113" s="36"/>
      <c r="D113" s="36"/>
      <c r="E113" s="36"/>
      <c r="F113" s="36"/>
      <c r="G113" s="36"/>
      <c r="H113" s="36"/>
      <c r="I113" s="36"/>
      <c r="J113" s="37"/>
    </row>
    <row r="114" spans="2:10" ht="15" customHeight="1" x14ac:dyDescent="0.15">
      <c r="B114" s="35"/>
      <c r="C114" s="36"/>
      <c r="D114" s="36"/>
      <c r="E114" s="36"/>
      <c r="F114" s="36"/>
      <c r="G114" s="36"/>
      <c r="H114" s="36"/>
      <c r="I114" s="36"/>
      <c r="J114" s="37"/>
    </row>
    <row r="115" spans="2:10" ht="15" customHeight="1" x14ac:dyDescent="0.15">
      <c r="B115" s="35"/>
      <c r="C115" s="36"/>
      <c r="D115" s="36"/>
      <c r="E115" s="36"/>
      <c r="F115" s="36"/>
      <c r="G115" s="36"/>
      <c r="H115" s="36"/>
      <c r="I115" s="36"/>
      <c r="J115" s="37"/>
    </row>
    <row r="116" spans="2:10" ht="15" customHeight="1" x14ac:dyDescent="0.15">
      <c r="B116" s="35"/>
      <c r="C116" s="36"/>
      <c r="D116" s="36"/>
      <c r="E116" s="36"/>
      <c r="F116" s="36"/>
      <c r="G116" s="36"/>
      <c r="H116" s="36"/>
      <c r="I116" s="36"/>
      <c r="J116" s="37"/>
    </row>
    <row r="117" spans="2:10" ht="15" customHeight="1" x14ac:dyDescent="0.15">
      <c r="B117" s="35"/>
      <c r="C117" s="36"/>
      <c r="D117" s="36"/>
      <c r="E117" s="36"/>
      <c r="F117" s="36"/>
      <c r="G117" s="36"/>
      <c r="H117" s="36"/>
      <c r="I117" s="36"/>
      <c r="J117" s="37"/>
    </row>
    <row r="118" spans="2:10" ht="15" customHeight="1" x14ac:dyDescent="0.15">
      <c r="B118" s="35"/>
      <c r="C118" s="36"/>
      <c r="D118" s="36"/>
      <c r="E118" s="36"/>
      <c r="F118" s="36"/>
      <c r="G118" s="36"/>
      <c r="H118" s="36"/>
      <c r="I118" s="36"/>
      <c r="J118" s="37"/>
    </row>
    <row r="119" spans="2:10" ht="15" customHeight="1" x14ac:dyDescent="0.15">
      <c r="B119" s="35"/>
      <c r="C119" s="36"/>
      <c r="D119" s="36"/>
      <c r="E119" s="36"/>
      <c r="F119" s="36"/>
      <c r="G119" s="36"/>
      <c r="H119" s="36"/>
      <c r="I119" s="36"/>
      <c r="J119" s="37"/>
    </row>
    <row r="120" spans="2:10" ht="15" customHeight="1" x14ac:dyDescent="0.15">
      <c r="B120" s="35"/>
      <c r="C120" s="36"/>
      <c r="D120" s="36"/>
      <c r="E120" s="36"/>
      <c r="F120" s="36"/>
      <c r="G120" s="36"/>
      <c r="H120" s="36"/>
      <c r="I120" s="36"/>
      <c r="J120" s="37"/>
    </row>
    <row r="121" spans="2:10" ht="15" customHeight="1" x14ac:dyDescent="0.15">
      <c r="B121" s="35"/>
      <c r="C121" s="36"/>
      <c r="D121" s="36"/>
      <c r="E121" s="36"/>
      <c r="F121" s="36"/>
      <c r="G121" s="36"/>
      <c r="H121" s="36"/>
      <c r="I121" s="36"/>
      <c r="J121" s="37"/>
    </row>
    <row r="122" spans="2:10" ht="15" customHeight="1" x14ac:dyDescent="0.15">
      <c r="B122" s="35"/>
      <c r="C122" s="36"/>
      <c r="D122" s="36"/>
      <c r="E122" s="36"/>
      <c r="F122" s="36"/>
      <c r="G122" s="36"/>
      <c r="H122" s="36"/>
      <c r="I122" s="36"/>
      <c r="J122" s="37"/>
    </row>
    <row r="123" spans="2:10" ht="15" customHeight="1" x14ac:dyDescent="0.15">
      <c r="B123" s="35"/>
      <c r="C123" s="36"/>
      <c r="D123" s="36"/>
      <c r="E123" s="36"/>
      <c r="F123" s="36"/>
      <c r="G123" s="36"/>
      <c r="H123" s="36"/>
      <c r="I123" s="36"/>
      <c r="J123" s="37"/>
    </row>
    <row r="124" spans="2:10" ht="15" customHeight="1" x14ac:dyDescent="0.15">
      <c r="B124" s="35"/>
      <c r="C124" s="36"/>
      <c r="D124" s="36"/>
      <c r="E124" s="36"/>
      <c r="F124" s="36"/>
      <c r="G124" s="36"/>
      <c r="H124" s="36"/>
      <c r="I124" s="36"/>
      <c r="J124" s="37"/>
    </row>
    <row r="125" spans="2:10" ht="15" customHeight="1" x14ac:dyDescent="0.15">
      <c r="B125" s="35"/>
      <c r="C125" s="36"/>
      <c r="D125" s="36"/>
      <c r="E125" s="36"/>
      <c r="F125" s="36"/>
      <c r="G125" s="36"/>
      <c r="H125" s="36"/>
      <c r="I125" s="36"/>
      <c r="J125" s="37"/>
    </row>
    <row r="126" spans="2:10" ht="15" customHeight="1" x14ac:dyDescent="0.15">
      <c r="B126" s="35"/>
      <c r="C126" s="36"/>
      <c r="D126" s="36"/>
      <c r="E126" s="36"/>
      <c r="F126" s="36"/>
      <c r="G126" s="36"/>
      <c r="H126" s="36"/>
      <c r="I126" s="36"/>
      <c r="J126" s="37"/>
    </row>
    <row r="127" spans="2:10" ht="15" customHeight="1" thickBot="1" x14ac:dyDescent="0.2">
      <c r="B127" s="38"/>
      <c r="C127" s="39"/>
      <c r="D127" s="39"/>
      <c r="E127" s="39"/>
      <c r="F127" s="39"/>
      <c r="G127" s="39"/>
      <c r="H127" s="39"/>
      <c r="I127" s="39"/>
      <c r="J127" s="40"/>
    </row>
    <row r="128" spans="2:10" ht="19.5" customHeight="1" x14ac:dyDescent="0.15">
      <c r="B128" s="29" t="s">
        <v>8</v>
      </c>
      <c r="C128" s="30"/>
      <c r="D128" s="30"/>
      <c r="E128" s="30"/>
      <c r="F128" s="30"/>
      <c r="G128" s="30"/>
      <c r="H128" s="30"/>
      <c r="I128" s="30"/>
      <c r="J128" s="31"/>
    </row>
    <row r="129" spans="2:12" ht="21.75" customHeight="1" x14ac:dyDescent="0.15">
      <c r="B129" s="7" t="s">
        <v>6</v>
      </c>
      <c r="C129" s="8" t="s">
        <v>11</v>
      </c>
      <c r="D129" s="9" t="s">
        <v>3</v>
      </c>
      <c r="E129" s="9" t="s">
        <v>9</v>
      </c>
      <c r="F129" s="9" t="s">
        <v>10</v>
      </c>
      <c r="G129" s="9" t="s">
        <v>0</v>
      </c>
      <c r="H129" s="9" t="s">
        <v>1</v>
      </c>
      <c r="I129" s="9" t="s">
        <v>2</v>
      </c>
      <c r="J129" s="10" t="s">
        <v>4</v>
      </c>
    </row>
    <row r="130" spans="2:12" ht="39" customHeight="1" x14ac:dyDescent="0.15">
      <c r="B130" s="7">
        <v>1</v>
      </c>
      <c r="C130" s="8" t="s">
        <v>16</v>
      </c>
      <c r="D130" s="9" t="s">
        <v>109</v>
      </c>
      <c r="E130" s="8" t="s">
        <v>15</v>
      </c>
      <c r="F130" s="8" t="s">
        <v>47</v>
      </c>
      <c r="G130" s="9">
        <v>1375</v>
      </c>
      <c r="H130" s="9">
        <v>2</v>
      </c>
      <c r="I130" s="9">
        <f>G130*H130</f>
        <v>2750</v>
      </c>
      <c r="J130" s="50" t="s">
        <v>93</v>
      </c>
    </row>
    <row r="131" spans="2:12" ht="24" customHeight="1" x14ac:dyDescent="0.15">
      <c r="B131" s="7">
        <v>2</v>
      </c>
      <c r="C131" s="8" t="s">
        <v>44</v>
      </c>
      <c r="D131" s="9" t="s">
        <v>109</v>
      </c>
      <c r="E131" s="8" t="s">
        <v>52</v>
      </c>
      <c r="F131" s="8" t="s">
        <v>17</v>
      </c>
      <c r="G131" s="9">
        <v>580</v>
      </c>
      <c r="H131" s="9">
        <v>2</v>
      </c>
      <c r="I131" s="9">
        <f t="shared" ref="I131:I133" si="0">G131*H131</f>
        <v>1160</v>
      </c>
      <c r="J131" s="50" t="s">
        <v>94</v>
      </c>
    </row>
    <row r="132" spans="2:12" ht="24" customHeight="1" x14ac:dyDescent="0.15">
      <c r="B132" s="7">
        <v>3</v>
      </c>
      <c r="C132" s="8" t="s">
        <v>45</v>
      </c>
      <c r="D132" s="9" t="s">
        <v>110</v>
      </c>
      <c r="E132" s="8" t="s">
        <v>53</v>
      </c>
      <c r="F132" s="8" t="s">
        <v>54</v>
      </c>
      <c r="G132" s="18">
        <v>120</v>
      </c>
      <c r="H132" s="9">
        <v>5</v>
      </c>
      <c r="I132" s="9">
        <f t="shared" si="0"/>
        <v>600</v>
      </c>
      <c r="J132" s="50" t="s">
        <v>95</v>
      </c>
    </row>
    <row r="133" spans="2:12" ht="24" customHeight="1" x14ac:dyDescent="0.15">
      <c r="B133" s="7">
        <v>4</v>
      </c>
      <c r="C133" s="8" t="s">
        <v>46</v>
      </c>
      <c r="D133" s="9" t="s">
        <v>110</v>
      </c>
      <c r="E133" s="8" t="s">
        <v>55</v>
      </c>
      <c r="F133" s="8" t="s">
        <v>56</v>
      </c>
      <c r="G133" s="9">
        <v>40</v>
      </c>
      <c r="H133" s="9">
        <v>2</v>
      </c>
      <c r="I133" s="9">
        <f t="shared" si="0"/>
        <v>80</v>
      </c>
      <c r="J133" s="50" t="s">
        <v>96</v>
      </c>
    </row>
    <row r="134" spans="2:12" ht="29.25" customHeight="1" x14ac:dyDescent="0.15">
      <c r="B134" s="7">
        <v>5</v>
      </c>
      <c r="C134" s="8" t="s">
        <v>18</v>
      </c>
      <c r="D134" s="9" t="s">
        <v>110</v>
      </c>
      <c r="E134" s="8" t="s">
        <v>19</v>
      </c>
      <c r="F134" s="8" t="s">
        <v>57</v>
      </c>
      <c r="G134" s="9">
        <v>110</v>
      </c>
      <c r="H134" s="9">
        <v>1</v>
      </c>
      <c r="I134" s="9">
        <f t="shared" ref="I134:I135" si="1">G134*H134</f>
        <v>110</v>
      </c>
      <c r="J134" s="50" t="s">
        <v>97</v>
      </c>
    </row>
    <row r="135" spans="2:12" ht="24" customHeight="1" x14ac:dyDescent="0.15">
      <c r="B135" s="7">
        <v>6</v>
      </c>
      <c r="C135" s="8" t="s">
        <v>20</v>
      </c>
      <c r="D135" s="9" t="s">
        <v>110</v>
      </c>
      <c r="E135" s="8" t="s">
        <v>70</v>
      </c>
      <c r="F135" s="8" t="s">
        <v>58</v>
      </c>
      <c r="G135" s="9">
        <v>80</v>
      </c>
      <c r="H135" s="9">
        <v>7</v>
      </c>
      <c r="I135" s="9">
        <f t="shared" si="1"/>
        <v>560</v>
      </c>
      <c r="J135" s="50" t="s">
        <v>98</v>
      </c>
    </row>
    <row r="136" spans="2:12" ht="24" customHeight="1" x14ac:dyDescent="0.15">
      <c r="B136" s="7">
        <v>7</v>
      </c>
      <c r="C136" s="8" t="s">
        <v>43</v>
      </c>
      <c r="D136" s="9" t="s">
        <v>110</v>
      </c>
      <c r="E136" s="8" t="s">
        <v>38</v>
      </c>
      <c r="F136" s="8" t="s">
        <v>59</v>
      </c>
      <c r="G136" s="9">
        <v>300</v>
      </c>
      <c r="H136" s="9">
        <v>2</v>
      </c>
      <c r="I136" s="9">
        <f>G136*H136</f>
        <v>600</v>
      </c>
      <c r="J136" s="50" t="s">
        <v>99</v>
      </c>
    </row>
    <row r="137" spans="2:12" ht="24" customHeight="1" x14ac:dyDescent="0.15">
      <c r="B137" s="7">
        <v>8</v>
      </c>
      <c r="C137" s="8" t="s">
        <v>18</v>
      </c>
      <c r="D137" s="9" t="s">
        <v>110</v>
      </c>
      <c r="E137" s="8" t="s">
        <v>71</v>
      </c>
      <c r="F137" s="8" t="s">
        <v>60</v>
      </c>
      <c r="G137" s="9">
        <v>150</v>
      </c>
      <c r="H137" s="9">
        <v>3</v>
      </c>
      <c r="I137" s="9">
        <f>G137*H137</f>
        <v>450</v>
      </c>
      <c r="J137" s="50" t="s">
        <v>50</v>
      </c>
    </row>
    <row r="138" spans="2:12" ht="24" customHeight="1" x14ac:dyDescent="0.15">
      <c r="B138" s="7">
        <v>9</v>
      </c>
      <c r="C138" s="8" t="s">
        <v>42</v>
      </c>
      <c r="D138" s="9" t="s">
        <v>110</v>
      </c>
      <c r="E138" s="8" t="s">
        <v>72</v>
      </c>
      <c r="F138" s="8" t="s">
        <v>61</v>
      </c>
      <c r="G138" s="9">
        <v>120</v>
      </c>
      <c r="H138" s="9">
        <v>5</v>
      </c>
      <c r="I138" s="9">
        <f>G138*H138</f>
        <v>600</v>
      </c>
      <c r="J138" s="50" t="s">
        <v>100</v>
      </c>
    </row>
    <row r="139" spans="2:12" ht="24" customHeight="1" x14ac:dyDescent="0.15">
      <c r="B139" s="7">
        <v>10</v>
      </c>
      <c r="C139" s="8" t="s">
        <v>48</v>
      </c>
      <c r="D139" s="9" t="s">
        <v>110</v>
      </c>
      <c r="E139" s="8" t="s">
        <v>73</v>
      </c>
      <c r="F139" s="8" t="s">
        <v>62</v>
      </c>
      <c r="G139" s="9">
        <v>60</v>
      </c>
      <c r="H139" s="9">
        <v>1</v>
      </c>
      <c r="I139" s="9">
        <f>G139*H139</f>
        <v>60</v>
      </c>
      <c r="J139" s="50" t="s">
        <v>49</v>
      </c>
    </row>
    <row r="140" spans="2:12" ht="34.5" customHeight="1" x14ac:dyDescent="0.15">
      <c r="B140" s="7">
        <v>11</v>
      </c>
      <c r="C140" s="8" t="s">
        <v>51</v>
      </c>
      <c r="D140" s="9" t="s">
        <v>109</v>
      </c>
      <c r="E140" s="8" t="s">
        <v>74</v>
      </c>
      <c r="F140" s="8" t="s">
        <v>63</v>
      </c>
      <c r="G140" s="9">
        <v>20</v>
      </c>
      <c r="H140" s="9">
        <v>4</v>
      </c>
      <c r="I140" s="9">
        <f>G140*H140</f>
        <v>80</v>
      </c>
      <c r="J140" s="50" t="s">
        <v>64</v>
      </c>
    </row>
    <row r="141" spans="2:12" ht="24" customHeight="1" x14ac:dyDescent="0.15">
      <c r="B141" s="7">
        <v>12</v>
      </c>
      <c r="C141" s="8" t="s">
        <v>66</v>
      </c>
      <c r="D141" s="9" t="s">
        <v>110</v>
      </c>
      <c r="E141" s="8" t="s">
        <v>75</v>
      </c>
      <c r="F141" s="9" t="s">
        <v>65</v>
      </c>
      <c r="G141" s="9">
        <v>30</v>
      </c>
      <c r="H141" s="9">
        <v>3</v>
      </c>
      <c r="I141" s="9">
        <f t="shared" ref="I141:I153" si="2">G141*H141</f>
        <v>90</v>
      </c>
      <c r="J141" s="50" t="s">
        <v>101</v>
      </c>
      <c r="L141" s="17"/>
    </row>
    <row r="142" spans="2:12" ht="25.5" customHeight="1" x14ac:dyDescent="0.15">
      <c r="B142" s="7">
        <v>13</v>
      </c>
      <c r="C142" s="19" t="s">
        <v>67</v>
      </c>
      <c r="D142" s="9" t="s">
        <v>109</v>
      </c>
      <c r="E142" s="8" t="s">
        <v>76</v>
      </c>
      <c r="F142" s="51" t="s">
        <v>68</v>
      </c>
      <c r="G142" s="9">
        <v>100</v>
      </c>
      <c r="H142" s="9">
        <v>2</v>
      </c>
      <c r="I142" s="9">
        <f t="shared" si="2"/>
        <v>200</v>
      </c>
      <c r="J142" s="50" t="s">
        <v>80</v>
      </c>
      <c r="L142" s="17"/>
    </row>
    <row r="143" spans="2:12" ht="25.5" customHeight="1" x14ac:dyDescent="0.15">
      <c r="B143" s="7">
        <v>14</v>
      </c>
      <c r="C143" s="8" t="s">
        <v>69</v>
      </c>
      <c r="D143" s="9" t="s">
        <v>110</v>
      </c>
      <c r="E143" s="8" t="s">
        <v>77</v>
      </c>
      <c r="F143" s="51" t="s">
        <v>78</v>
      </c>
      <c r="G143" s="9">
        <v>10</v>
      </c>
      <c r="H143" s="9">
        <v>5</v>
      </c>
      <c r="I143" s="9">
        <f t="shared" si="2"/>
        <v>50</v>
      </c>
      <c r="J143" s="50" t="s">
        <v>79</v>
      </c>
    </row>
    <row r="144" spans="2:12" ht="25.5" customHeight="1" x14ac:dyDescent="0.15">
      <c r="B144" s="7">
        <v>15</v>
      </c>
      <c r="C144" s="8" t="s">
        <v>22</v>
      </c>
      <c r="D144" s="9" t="s">
        <v>21</v>
      </c>
      <c r="E144" s="9" t="s">
        <v>23</v>
      </c>
      <c r="F144" s="9" t="s">
        <v>17</v>
      </c>
      <c r="G144" s="9">
        <v>795</v>
      </c>
      <c r="H144" s="9">
        <v>2</v>
      </c>
      <c r="I144" s="9">
        <f t="shared" si="2"/>
        <v>1590</v>
      </c>
      <c r="J144" s="52" t="s">
        <v>103</v>
      </c>
    </row>
    <row r="145" spans="2:12" ht="25.5" customHeight="1" x14ac:dyDescent="0.15">
      <c r="B145" s="7">
        <v>16</v>
      </c>
      <c r="C145" s="8" t="s">
        <v>24</v>
      </c>
      <c r="D145" s="9" t="s">
        <v>21</v>
      </c>
      <c r="E145" s="9" t="s">
        <v>25</v>
      </c>
      <c r="F145" s="9" t="s">
        <v>17</v>
      </c>
      <c r="G145" s="9">
        <v>999</v>
      </c>
      <c r="H145" s="9">
        <v>1</v>
      </c>
      <c r="I145" s="9">
        <f t="shared" si="2"/>
        <v>999</v>
      </c>
      <c r="J145" s="50" t="s">
        <v>102</v>
      </c>
    </row>
    <row r="146" spans="2:12" ht="25.5" customHeight="1" x14ac:dyDescent="0.15">
      <c r="B146" s="7">
        <v>17</v>
      </c>
      <c r="C146" s="8" t="s">
        <v>26</v>
      </c>
      <c r="D146" s="9" t="s">
        <v>21</v>
      </c>
      <c r="E146" s="9" t="s">
        <v>27</v>
      </c>
      <c r="F146" s="9" t="s">
        <v>17</v>
      </c>
      <c r="G146" s="9">
        <v>405</v>
      </c>
      <c r="H146" s="9">
        <v>1</v>
      </c>
      <c r="I146" s="9">
        <f t="shared" si="2"/>
        <v>405</v>
      </c>
      <c r="J146" s="50" t="s">
        <v>104</v>
      </c>
    </row>
    <row r="147" spans="2:12" ht="25.5" customHeight="1" x14ac:dyDescent="0.15">
      <c r="B147" s="7">
        <v>18</v>
      </c>
      <c r="C147" s="8" t="s">
        <v>30</v>
      </c>
      <c r="D147" s="9" t="s">
        <v>21</v>
      </c>
      <c r="E147" s="9" t="s">
        <v>28</v>
      </c>
      <c r="F147" s="9" t="s">
        <v>29</v>
      </c>
      <c r="G147" s="9">
        <v>640</v>
      </c>
      <c r="H147" s="9">
        <v>1</v>
      </c>
      <c r="I147" s="9">
        <f t="shared" si="2"/>
        <v>640</v>
      </c>
      <c r="J147" s="50" t="s">
        <v>105</v>
      </c>
    </row>
    <row r="148" spans="2:12" ht="25.5" customHeight="1" x14ac:dyDescent="0.15">
      <c r="B148" s="7">
        <v>19</v>
      </c>
      <c r="C148" s="8" t="s">
        <v>34</v>
      </c>
      <c r="D148" s="9" t="s">
        <v>31</v>
      </c>
      <c r="E148" s="9" t="s">
        <v>32</v>
      </c>
      <c r="F148" s="9" t="s">
        <v>33</v>
      </c>
      <c r="G148" s="9">
        <v>100</v>
      </c>
      <c r="H148" s="9">
        <v>1</v>
      </c>
      <c r="I148" s="9">
        <f t="shared" si="2"/>
        <v>100</v>
      </c>
      <c r="J148" s="50" t="s">
        <v>106</v>
      </c>
    </row>
    <row r="149" spans="2:12" ht="25.5" customHeight="1" x14ac:dyDescent="0.15">
      <c r="B149" s="7">
        <v>20</v>
      </c>
      <c r="C149" s="8" t="s">
        <v>37</v>
      </c>
      <c r="D149" s="9" t="s">
        <v>31</v>
      </c>
      <c r="E149" s="9" t="s">
        <v>36</v>
      </c>
      <c r="F149" s="9" t="s">
        <v>35</v>
      </c>
      <c r="G149" s="9">
        <v>197</v>
      </c>
      <c r="H149" s="9">
        <v>7</v>
      </c>
      <c r="I149" s="9">
        <f t="shared" si="2"/>
        <v>1379</v>
      </c>
      <c r="J149" s="50" t="s">
        <v>92</v>
      </c>
    </row>
    <row r="150" spans="2:12" ht="39.75" customHeight="1" x14ac:dyDescent="0.15">
      <c r="B150" s="7">
        <v>21</v>
      </c>
      <c r="C150" s="8" t="s">
        <v>41</v>
      </c>
      <c r="D150" s="9" t="s">
        <v>31</v>
      </c>
      <c r="E150" s="9" t="s">
        <v>40</v>
      </c>
      <c r="F150" s="53" t="s">
        <v>39</v>
      </c>
      <c r="G150" s="9">
        <v>100</v>
      </c>
      <c r="H150" s="9">
        <v>1</v>
      </c>
      <c r="I150" s="9">
        <f t="shared" si="2"/>
        <v>100</v>
      </c>
      <c r="J150" s="50" t="s">
        <v>81</v>
      </c>
    </row>
    <row r="151" spans="2:12" ht="39.75" customHeight="1" x14ac:dyDescent="0.15">
      <c r="B151" s="7">
        <v>22</v>
      </c>
      <c r="C151" s="8" t="s">
        <v>82</v>
      </c>
      <c r="D151" s="9" t="s">
        <v>83</v>
      </c>
      <c r="E151" s="9" t="s">
        <v>17</v>
      </c>
      <c r="F151" s="9" t="s">
        <v>17</v>
      </c>
      <c r="G151" s="9">
        <v>626.69000000000005</v>
      </c>
      <c r="H151" s="9">
        <v>1</v>
      </c>
      <c r="I151" s="9">
        <f t="shared" si="2"/>
        <v>626.69000000000005</v>
      </c>
      <c r="J151" s="50"/>
    </row>
    <row r="152" spans="2:12" ht="36.75" customHeight="1" x14ac:dyDescent="0.15">
      <c r="B152" s="7">
        <v>23</v>
      </c>
      <c r="C152" s="8" t="s">
        <v>107</v>
      </c>
      <c r="D152" s="9" t="s">
        <v>109</v>
      </c>
      <c r="E152" s="9" t="s">
        <v>108</v>
      </c>
      <c r="F152" s="9"/>
      <c r="G152" s="9">
        <v>100</v>
      </c>
      <c r="H152" s="9">
        <v>2</v>
      </c>
      <c r="I152" s="9">
        <f t="shared" si="2"/>
        <v>200</v>
      </c>
      <c r="J152" s="54" t="s">
        <v>119</v>
      </c>
    </row>
    <row r="153" spans="2:12" ht="25.5" customHeight="1" x14ac:dyDescent="0.15">
      <c r="B153" s="7">
        <v>24</v>
      </c>
      <c r="C153" s="8" t="s">
        <v>116</v>
      </c>
      <c r="D153" s="9" t="s">
        <v>109</v>
      </c>
      <c r="E153" s="9" t="s">
        <v>118</v>
      </c>
      <c r="F153" s="9" t="s">
        <v>117</v>
      </c>
      <c r="G153" s="9">
        <v>30</v>
      </c>
      <c r="H153" s="9">
        <v>3</v>
      </c>
      <c r="I153" s="9">
        <f t="shared" si="2"/>
        <v>90</v>
      </c>
      <c r="J153" s="55" t="s">
        <v>122</v>
      </c>
    </row>
    <row r="154" spans="2:12" ht="25.5" customHeight="1" x14ac:dyDescent="0.15">
      <c r="B154" s="7">
        <v>25</v>
      </c>
      <c r="C154" s="8" t="s">
        <v>114</v>
      </c>
      <c r="D154" s="9" t="s">
        <v>111</v>
      </c>
      <c r="E154" s="9" t="s">
        <v>112</v>
      </c>
      <c r="F154" s="9" t="s">
        <v>113</v>
      </c>
      <c r="G154" s="9">
        <v>1.5</v>
      </c>
      <c r="H154" s="9">
        <v>1</v>
      </c>
      <c r="I154" s="9">
        <f t="shared" ref="I154:I156" si="3">G154*H154</f>
        <v>1.5</v>
      </c>
      <c r="J154" s="55" t="s">
        <v>120</v>
      </c>
    </row>
    <row r="155" spans="2:12" ht="24.75" customHeight="1" x14ac:dyDescent="0.15">
      <c r="B155" s="7">
        <v>26</v>
      </c>
      <c r="C155" s="8" t="s">
        <v>115</v>
      </c>
      <c r="D155" s="9" t="s">
        <v>111</v>
      </c>
      <c r="E155" s="9" t="s">
        <v>112</v>
      </c>
      <c r="F155" s="9" t="s">
        <v>113</v>
      </c>
      <c r="G155" s="9">
        <v>1.5</v>
      </c>
      <c r="H155" s="9">
        <v>1</v>
      </c>
      <c r="I155" s="9">
        <f t="shared" si="3"/>
        <v>1.5</v>
      </c>
      <c r="J155" s="55" t="s">
        <v>121</v>
      </c>
      <c r="L155" s="16"/>
    </row>
    <row r="156" spans="2:12" ht="24.75" customHeight="1" x14ac:dyDescent="0.15">
      <c r="B156" s="7">
        <v>27</v>
      </c>
      <c r="C156" s="8" t="s">
        <v>124</v>
      </c>
      <c r="D156" s="9" t="s">
        <v>123</v>
      </c>
      <c r="E156" s="9" t="s">
        <v>125</v>
      </c>
      <c r="F156" s="9" t="s">
        <v>125</v>
      </c>
      <c r="G156" s="9">
        <v>12</v>
      </c>
      <c r="H156" s="9">
        <v>2</v>
      </c>
      <c r="I156" s="9">
        <f t="shared" si="3"/>
        <v>24</v>
      </c>
      <c r="J156" s="10"/>
      <c r="L156" s="17"/>
    </row>
    <row r="157" spans="2:12" ht="24.75" customHeight="1" x14ac:dyDescent="0.15">
      <c r="B157" s="7">
        <v>28</v>
      </c>
      <c r="C157" s="8"/>
      <c r="D157" s="15"/>
      <c r="E157" s="5"/>
      <c r="F157" s="5"/>
      <c r="G157" s="9"/>
      <c r="H157" s="9"/>
      <c r="I157" s="9"/>
      <c r="J157" s="10"/>
      <c r="L157" s="16"/>
    </row>
    <row r="158" spans="2:12" ht="18" customHeight="1" x14ac:dyDescent="0.15">
      <c r="B158" s="7"/>
      <c r="C158" s="44"/>
      <c r="D158" s="45"/>
      <c r="E158" s="45"/>
      <c r="F158" s="45"/>
      <c r="G158" s="45"/>
      <c r="H158" s="45"/>
      <c r="I158" s="45"/>
      <c r="J158" s="46"/>
    </row>
    <row r="159" spans="2:12" ht="18.75" customHeight="1" x14ac:dyDescent="0.15">
      <c r="B159" s="7"/>
      <c r="C159" s="44"/>
      <c r="D159" s="45"/>
      <c r="E159" s="45"/>
      <c r="F159" s="45"/>
      <c r="G159" s="45"/>
      <c r="H159" s="45"/>
      <c r="I159" s="45"/>
      <c r="J159" s="46"/>
    </row>
    <row r="160" spans="2:12" ht="19.5" customHeight="1" x14ac:dyDescent="0.15">
      <c r="B160" s="7"/>
      <c r="C160" s="47"/>
      <c r="D160" s="48"/>
      <c r="E160" s="48"/>
      <c r="F160" s="48"/>
      <c r="G160" s="48"/>
      <c r="H160" s="48"/>
      <c r="I160" s="48"/>
      <c r="J160" s="49"/>
    </row>
    <row r="161" spans="2:10" ht="29.25" customHeight="1" thickBot="1" x14ac:dyDescent="0.2">
      <c r="B161" s="11"/>
      <c r="C161" s="12"/>
      <c r="D161" s="12"/>
      <c r="E161" s="12"/>
      <c r="F161" s="12"/>
      <c r="G161" s="12"/>
      <c r="H161" s="13" t="s">
        <v>5</v>
      </c>
      <c r="I161" s="13">
        <f>SUM(I130:I160)</f>
        <v>13546.69</v>
      </c>
      <c r="J161" s="14"/>
    </row>
    <row r="162" spans="2:10" ht="15" customHeight="1" x14ac:dyDescent="0.15"/>
    <row r="163" spans="2:10" ht="15" customHeight="1" x14ac:dyDescent="0.15">
      <c r="J163" s="4"/>
    </row>
    <row r="164" spans="2:10" ht="15" customHeight="1" x14ac:dyDescent="0.15">
      <c r="B164" s="4"/>
      <c r="C164" s="4"/>
      <c r="D164" s="4"/>
      <c r="E164" s="4"/>
      <c r="F164" s="4"/>
      <c r="G164" s="4"/>
      <c r="H164" s="28"/>
      <c r="I164" s="28"/>
      <c r="J164" s="3"/>
    </row>
    <row r="165" spans="2:10" ht="15" customHeight="1" x14ac:dyDescent="0.15"/>
    <row r="166" spans="2:10" ht="15" customHeight="1" x14ac:dyDescent="0.15">
      <c r="C166" s="6"/>
      <c r="D166" s="6"/>
      <c r="E166" s="6"/>
      <c r="F166" s="6"/>
      <c r="G166" s="6"/>
      <c r="H166" s="6"/>
      <c r="I166" s="6"/>
      <c r="J166" s="6"/>
    </row>
    <row r="167" spans="2:10" ht="15" customHeight="1" x14ac:dyDescent="0.15">
      <c r="C167" s="6"/>
      <c r="D167" s="6"/>
      <c r="E167" s="6"/>
      <c r="F167" s="6"/>
      <c r="G167" s="6"/>
      <c r="H167" s="6"/>
      <c r="I167" s="6"/>
      <c r="J167" s="6"/>
    </row>
    <row r="168" spans="2:10" ht="15" customHeight="1" x14ac:dyDescent="0.15">
      <c r="C168" s="6"/>
      <c r="D168" s="6"/>
      <c r="E168" s="6"/>
      <c r="F168" s="6"/>
      <c r="G168" s="6"/>
      <c r="H168" s="6"/>
      <c r="I168" s="6"/>
      <c r="J168" s="6"/>
    </row>
    <row r="169" spans="2:10" ht="15" customHeight="1" x14ac:dyDescent="0.15">
      <c r="C169" s="6"/>
      <c r="D169" s="6"/>
      <c r="E169" s="6"/>
      <c r="F169" s="6"/>
      <c r="G169" s="6"/>
      <c r="H169" s="6"/>
      <c r="I169" s="6"/>
      <c r="J169" s="6"/>
    </row>
    <row r="170" spans="2:10" ht="15" customHeight="1" x14ac:dyDescent="0.15">
      <c r="C170" s="6"/>
      <c r="D170" s="6"/>
      <c r="E170" s="6"/>
      <c r="F170" s="6"/>
      <c r="G170" s="6"/>
      <c r="H170" s="6"/>
      <c r="I170" s="6"/>
      <c r="J170" s="6"/>
    </row>
    <row r="171" spans="2:10" ht="15" customHeight="1" x14ac:dyDescent="0.15"/>
    <row r="172" spans="2:10" ht="15" customHeight="1" x14ac:dyDescent="0.15">
      <c r="C172" s="27"/>
      <c r="D172" s="27"/>
      <c r="E172" s="27"/>
      <c r="F172" s="27"/>
      <c r="G172" s="27"/>
      <c r="H172" s="27"/>
      <c r="I172" s="27"/>
      <c r="J172" s="27"/>
    </row>
    <row r="173" spans="2:10" ht="15" customHeight="1" x14ac:dyDescent="0.15">
      <c r="C173" s="27"/>
      <c r="D173" s="27"/>
      <c r="E173" s="27"/>
      <c r="F173" s="27"/>
      <c r="G173" s="27"/>
      <c r="H173" s="27"/>
      <c r="I173" s="27"/>
      <c r="J173" s="27"/>
    </row>
    <row r="174" spans="2:10" ht="15" customHeight="1" x14ac:dyDescent="0.15">
      <c r="C174" s="27"/>
      <c r="D174" s="27"/>
      <c r="E174" s="27"/>
      <c r="F174" s="27"/>
      <c r="G174" s="27"/>
      <c r="H174" s="27"/>
      <c r="I174" s="27"/>
      <c r="J174" s="27"/>
    </row>
    <row r="175" spans="2:10" ht="15" customHeight="1" x14ac:dyDescent="0.15">
      <c r="C175" s="27"/>
      <c r="D175" s="27"/>
      <c r="E175" s="27"/>
      <c r="F175" s="27"/>
      <c r="G175" s="27"/>
      <c r="H175" s="27"/>
      <c r="I175" s="27"/>
      <c r="J175" s="27"/>
    </row>
    <row r="176" spans="2:10" ht="15" customHeight="1" x14ac:dyDescent="0.15">
      <c r="C176" s="27"/>
      <c r="D176" s="27"/>
      <c r="E176" s="27"/>
      <c r="F176" s="27"/>
      <c r="G176" s="27"/>
      <c r="H176" s="27"/>
      <c r="I176" s="27"/>
      <c r="J176" s="27"/>
    </row>
    <row r="177" spans="3:10" ht="15" customHeight="1" x14ac:dyDescent="0.15">
      <c r="C177" s="27"/>
      <c r="D177" s="27"/>
      <c r="E177" s="27"/>
      <c r="F177" s="27"/>
      <c r="G177" s="27"/>
      <c r="H177" s="27"/>
      <c r="I177" s="27"/>
      <c r="J177" s="27"/>
    </row>
    <row r="178" spans="3:10" ht="15" customHeight="1" x14ac:dyDescent="0.15"/>
    <row r="179" spans="3:10" ht="15" customHeight="1" x14ac:dyDescent="0.15"/>
    <row r="180" spans="3:10" ht="15" customHeight="1" x14ac:dyDescent="0.15"/>
    <row r="181" spans="3:10" ht="15" customHeight="1" x14ac:dyDescent="0.15"/>
    <row r="182" spans="3:10" ht="15" customHeight="1" x14ac:dyDescent="0.15"/>
    <row r="183" spans="3:10" ht="15" customHeight="1" x14ac:dyDescent="0.15"/>
    <row r="184" spans="3:10" ht="15" customHeight="1" x14ac:dyDescent="0.15"/>
    <row r="185" spans="3:10" ht="15" customHeight="1" x14ac:dyDescent="0.15"/>
    <row r="186" spans="3:10" ht="15" customHeight="1" x14ac:dyDescent="0.15"/>
    <row r="187" spans="3:10" ht="15" customHeight="1" x14ac:dyDescent="0.15"/>
    <row r="188" spans="3:10" ht="15" customHeight="1" x14ac:dyDescent="0.15"/>
    <row r="189" spans="3:10" ht="15" customHeight="1" x14ac:dyDescent="0.15"/>
    <row r="190" spans="3:10" ht="15" customHeight="1" x14ac:dyDescent="0.15"/>
    <row r="191" spans="3:10" ht="15" customHeight="1" x14ac:dyDescent="0.15"/>
    <row r="192" spans="3:10" ht="15" customHeight="1" x14ac:dyDescent="0.15"/>
    <row r="193" ht="15" customHeight="1" x14ac:dyDescent="0.15"/>
    <row r="194" ht="15" customHeight="1" x14ac:dyDescent="0.15"/>
    <row r="195" ht="15" customHeight="1" x14ac:dyDescent="0.15"/>
    <row r="196" ht="15" customHeight="1" x14ac:dyDescent="0.15"/>
    <row r="197" ht="15" customHeight="1" x14ac:dyDescent="0.15"/>
    <row r="198" ht="15" customHeight="1" x14ac:dyDescent="0.15"/>
    <row r="199" ht="15" customHeight="1" x14ac:dyDescent="0.15"/>
    <row r="200" ht="15" customHeight="1" x14ac:dyDescent="0.15"/>
    <row r="201" ht="15" customHeight="1" x14ac:dyDescent="0.15"/>
    <row r="202" ht="15" customHeight="1" x14ac:dyDescent="0.15"/>
    <row r="203" ht="15" customHeight="1" x14ac:dyDescent="0.15"/>
    <row r="204" ht="15" customHeight="1" x14ac:dyDescent="0.15"/>
    <row r="205" ht="15" customHeight="1" x14ac:dyDescent="0.15"/>
    <row r="206" ht="15" customHeight="1" x14ac:dyDescent="0.15"/>
    <row r="207" ht="15" customHeight="1" x14ac:dyDescent="0.15"/>
    <row r="208" ht="15" customHeight="1" x14ac:dyDescent="0.15"/>
    <row r="209" ht="15" customHeight="1" x14ac:dyDescent="0.15"/>
    <row r="210" ht="15" customHeight="1" x14ac:dyDescent="0.15"/>
    <row r="211" ht="15" customHeight="1" x14ac:dyDescent="0.15"/>
    <row r="212" ht="15" customHeight="1" x14ac:dyDescent="0.15"/>
    <row r="213" ht="15" customHeight="1" x14ac:dyDescent="0.15"/>
    <row r="214" ht="15" customHeight="1" x14ac:dyDescent="0.15"/>
    <row r="215" ht="15" customHeight="1" x14ac:dyDescent="0.15"/>
    <row r="216" ht="15" customHeight="1" x14ac:dyDescent="0.15"/>
  </sheetData>
  <mergeCells count="13">
    <mergeCell ref="C172:J177"/>
    <mergeCell ref="H164:I164"/>
    <mergeCell ref="B128:J128"/>
    <mergeCell ref="B6:J127"/>
    <mergeCell ref="B5:J5"/>
    <mergeCell ref="C158:J158"/>
    <mergeCell ref="C159:J159"/>
    <mergeCell ref="C160:J160"/>
    <mergeCell ref="B4:C4"/>
    <mergeCell ref="D4:E4"/>
    <mergeCell ref="F4:G4"/>
    <mergeCell ref="H4:J4"/>
    <mergeCell ref="C2:G2"/>
  </mergeCells>
  <phoneticPr fontId="12"/>
  <hyperlinks>
    <hyperlink ref="J150" r:id="rId1"/>
    <hyperlink ref="J149" r:id="rId2"/>
    <hyperlink ref="J138" r:id="rId3"/>
    <hyperlink ref="J130" r:id="rId4"/>
    <hyperlink ref="J131" r:id="rId5"/>
    <hyperlink ref="J132" r:id="rId6"/>
    <hyperlink ref="J133" r:id="rId7"/>
    <hyperlink ref="J134" r:id="rId8"/>
    <hyperlink ref="J135" r:id="rId9"/>
    <hyperlink ref="J136" r:id="rId10"/>
    <hyperlink ref="J137" r:id="rId11"/>
    <hyperlink ref="J140" r:id="rId12"/>
    <hyperlink ref="J141" r:id="rId13"/>
    <hyperlink ref="J142" r:id="rId14"/>
    <hyperlink ref="J143" r:id="rId15"/>
    <hyperlink ref="J145" r:id="rId16"/>
    <hyperlink ref="J144" r:id="rId17"/>
    <hyperlink ref="J146" r:id="rId18"/>
    <hyperlink ref="J147" r:id="rId19"/>
    <hyperlink ref="J148" r:id="rId20"/>
    <hyperlink ref="J139" r:id="rId21"/>
    <hyperlink ref="J152" r:id="rId22"/>
  </hyperlinks>
  <pageMargins left="0.39370078740157483" right="0.39370078740157483" top="0.39370078740157483" bottom="0.39370078740157483" header="0" footer="0"/>
  <pageSetup paperSize="9" scale="46" orientation="portrait" r:id="rId23"/>
  <headerFooter alignWithMargins="0"/>
  <rowBreaks count="1" manualBreakCount="1">
    <brk id="125" max="10" man="1"/>
  </rowBreaks>
  <colBreaks count="1" manualBreakCount="1">
    <brk id="11" max="151" man="1"/>
  </colBreaks>
  <drawing r:id="rId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申請書</vt:lpstr>
      <vt:lpstr>申請書!Print_Area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中野拓哉</dc:creator>
  <cp:lastModifiedBy>長谷川拓海</cp:lastModifiedBy>
  <cp:lastPrinted>2019-11-09T12:19:15Z</cp:lastPrinted>
  <dcterms:created xsi:type="dcterms:W3CDTF">2008-03-02T08:06:22Z</dcterms:created>
  <dcterms:modified xsi:type="dcterms:W3CDTF">2025-12-06T01:37:57Z</dcterms:modified>
</cp:coreProperties>
</file>